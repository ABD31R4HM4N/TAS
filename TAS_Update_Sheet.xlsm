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_Misc\TAS\"/>
    </mc:Choice>
  </mc:AlternateContent>
  <bookViews>
    <workbookView xWindow="0" yWindow="0" windowWidth="23040" windowHeight="8496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2" l="1"/>
  <c r="O8" i="2"/>
  <c r="C8" i="2"/>
  <c r="I8" i="2" s="1"/>
  <c r="B8" i="2"/>
  <c r="J8" i="2" s="1"/>
  <c r="A8" i="2"/>
  <c r="K8" i="2" l="1"/>
  <c r="D8" i="2"/>
  <c r="F8" i="2"/>
  <c r="H8" i="2"/>
  <c r="A5" i="2" l="1"/>
  <c r="C5" i="2"/>
  <c r="M8" i="2" s="1" a="1"/>
  <c r="M8" i="2" s="1"/>
  <c r="E8" i="2" l="1"/>
  <c r="G8" i="2" s="1"/>
  <c r="N8" i="2"/>
  <c r="L8" i="2" a="1"/>
  <c r="L8" i="2" s="1"/>
  <c r="A6" i="1"/>
  <c r="B6" i="1" l="1"/>
</calcChain>
</file>

<file path=xl/sharedStrings.xml><?xml version="1.0" encoding="utf-8"?>
<sst xmlns="http://schemas.openxmlformats.org/spreadsheetml/2006/main" count="47" uniqueCount="44">
  <si>
    <t>Core Hours 1</t>
  </si>
  <si>
    <t>Core Hours 2</t>
  </si>
  <si>
    <t>From</t>
  </si>
  <si>
    <t>To</t>
  </si>
  <si>
    <t>Balance Until 30-12-2023</t>
  </si>
  <si>
    <t>Days</t>
  </si>
  <si>
    <t/>
  </si>
  <si>
    <t>Date</t>
  </si>
  <si>
    <t>Check-in</t>
  </si>
  <si>
    <t>Check-out</t>
  </si>
  <si>
    <t>Total Hours</t>
  </si>
  <si>
    <t>////IF(TYPE(Sheet1!B8) //// 1,Sheet1!B8,0)</t>
  </si>
  <si>
    <t>////IF(TYPE(Sheet1!C8) //// 1,Sheet1!C8,0)</t>
  </si>
  <si>
    <t>////IF(TYPE(Sheet1!D8) //// 1,Sheet1!D8,0)</t>
  </si>
  <si>
    <t>////IF([@[Is Paid Leave?]] //// 1, 8.5, IF([@Date]&lt;&gt;0,MOD(C8-B8,1)*24,""))</t>
  </si>
  <si>
    <t>////IF(AND([@Date]////0,A7&lt;&gt;0),SUMIFS(D$1:D7, A$1:A7, "&gt;" &amp; A7-P7),"")</t>
  </si>
  <si>
    <t>////IF([@[Weekly Hours]] &lt;&gt; "",IF([@[Weekly Hours]] &gt; 42.5 - [@[Missing Core Hours Weekly]],3.43 - [@[Missing Core Hours Weekly]], 3.43 - (42.5-[@[Weekly Hours]])), "")</t>
  </si>
  <si>
    <t>////IF([@[Is Paid Leave?]] //// 1, 0, IF(AND(B8 &gt; Sheet1!$A$3, B8 &lt; Sheet1!$B$3), 24 * 60 * (B8 - Sheet1!$A$3), IF([@[Check-in]] &gt; Sheet1!$B$3, IF(AND(Sheet2!A8 &lt;&gt; Sheet2!A7, Sheet2!A8 &lt;&gt; 0), 210, IF(C7 &lt; Sheet1!$A$3, 210, 0)), 0)))</t>
  </si>
  <si>
    <t>////IFERROR(IF(AND(C8 &gt; Sheet1!$A$3, C8 &lt; Sheet1!$B$3), 24 * 60 * (Sheet1!$B$3 - C8), 0), 0)</t>
  </si>
  <si>
    <t>////IFERROR(IF(AND(B8 &gt; Sheet1!$C$3, B8 &lt; Sheet1!$D$3), 24 * 60 * (B8 - Sheet1!$C$3), 0), 0)</t>
  </si>
  <si>
    <t>////IF([@[Is Paid Leave?]] //// 1, 0, IF([@[Check-out]] //// [@[Check-in]], 0, IF(AND(C8 &gt; Sheet1!$C$3, C8 &lt; Sheet1!$D$3), 24 * 60 * (Sheet1!$D$3 - C8), IF([@[Check-out]] &lt; Sheet1!$C$3, IF(AND(Sheet2!A8 &lt;&gt; Sheet2!A9, Sheet2!A8 &lt;&gt; 0), 120, IF(B9 &gt; Sheet1!$D$3, 120, 0)), 0))))</t>
  </si>
  <si>
    <t>////IF(OR(IFERROR(SEARCH("Official Vacation",Sheet1!F8),0),IFERROR(SEARCH("Sick",Sheet1!F8),0),IFERROR(SEARCH("Holiday",Sheet1!F8),0)),1,0)</t>
  </si>
  <si>
    <t>Weekly Hours</t>
  </si>
  <si>
    <t>Core Hours</t>
  </si>
  <si>
    <t>PTO (Hours)</t>
  </si>
  <si>
    <t>Came Late Core 1</t>
  </si>
  <si>
    <t>Left Early Core 1</t>
  </si>
  <si>
    <t>Came Late Core 2</t>
  </si>
  <si>
    <t>Left Early Core 2</t>
  </si>
  <si>
    <t>Core1 (Min)</t>
  </si>
  <si>
    <t>Core2 (Min)</t>
  </si>
  <si>
    <t>Missing Core Hours Weekly</t>
  </si>
  <si>
    <t>Is Paid Leave?</t>
  </si>
  <si>
    <t>Day of Week (1 is Sunday)</t>
  </si>
  <si>
    <t>© 2024 Abdel Rahman Abdallah</t>
  </si>
  <si>
    <t>Note to self, add export and import buttons, and new week button, maybe auto add PTO with button. Make format tables add proper formulas</t>
  </si>
  <si>
    <t>////IF([@[Is Paid Leave?]] //// 1, 5.5, IF(OR(WEEKDAY([@Date]) //// 6, WEEKDAY([@Date]) //// 7),"", IF(AND([@[Check-in]] //// 0, [@[Check-out]] //// 0), -3, (L8 + M8) / 60)))</t>
  </si>
  <si>
    <t>////IF($A8 //// $A7, 0, A$5 - (H8 + I8 + IF($A8 //// $A9:$A19, H9:H19 + I9:I19 + IF(AND(H9:H19 &gt; 0, I8:I18 &gt; 0), 0, 0), 0)))</t>
  </si>
  <si>
    <t>////IF($A8 //// $A7, 0, C$5 - ( J8 + K8 + IF($A8 //// $A9:$A19, J9:J19 + K9:K19 + IF(AND(J9:J19 &gt; 0, K8:K18 &gt; 0), -C$5, 0), 0)))</t>
  </si>
  <si>
    <t>////IF(AND([@Date] = 0,A7 &lt;&gt; 0), IF(IFERROR(SEARCH( "Flex", Sheet1!F8), 0), 0, 27.5 - SUMIFS(F$1:F7, A$1:A7, "&gt;" &amp; A7-7)), "")</t>
  </si>
  <si>
    <t>////WEEKDAY(Table2[@Date])</t>
  </si>
  <si>
    <t>Is Flex Day?</t>
  </si>
  <si>
    <t>V0.3 release notes:
- Added support for flexible weeks
- Sheet now supports importing another TAS sheet
- Increased maximum time entries per day from 5 to 10
- Fixed issue with adding new week where headers are copied incorrectly</t>
  </si>
  <si>
    <t>TAS V0.3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</si>
</sst>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0.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2" xfId="0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2" fontId="0" fillId="0" borderId="0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4" xfId="0" applyBorder="1"/>
    <xf numFmtId="0" fontId="0" fillId="0" borderId="0" xfId="0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7" xfId="0" applyNumberFormat="1" applyFill="1" applyBorder="1"/>
    <xf numFmtId="20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0" xfId="0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5" fontId="0" fillId="0" borderId="0" xfId="0" applyNumberFormat="1" applyBorder="1"/>
    <xf numFmtId="15" fontId="2" fillId="0" borderId="0" xfId="0" applyNumberFormat="1" applyFont="1" applyFill="1" applyBorder="1"/>
    <xf numFmtId="20" fontId="2" fillId="0" borderId="0" xfId="0" applyNumberFormat="1" applyFont="1" applyFill="1" applyBorder="1"/>
    <xf numFmtId="2" fontId="2" fillId="0" borderId="0" xfId="0" applyNumberFormat="1" applyFont="1" applyFill="1" applyBorder="1"/>
    <xf numFmtId="165" fontId="2" fillId="0" borderId="0" xfId="0" applyNumberFormat="1" applyFont="1" applyFill="1" applyBorder="1"/>
    <xf numFmtId="165" fontId="2" fillId="0" borderId="0" xfId="0" applyNumberFormat="1" applyFont="1" applyFill="1"/>
    <xf numFmtId="2" fontId="3" fillId="0" borderId="0" xfId="0" applyNumberFormat="1" applyFont="1" applyBorder="1"/>
    <xf numFmtId="0" fontId="4" fillId="2" borderId="8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2" fontId="4" fillId="2" borderId="9" xfId="0" applyNumberFormat="1" applyFont="1" applyFill="1" applyBorder="1" applyAlignment="1">
      <alignment horizontal="left"/>
    </xf>
    <xf numFmtId="2" fontId="3" fillId="2" borderId="9" xfId="0" applyNumberFormat="1" applyFont="1" applyFill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20" fontId="3" fillId="0" borderId="0" xfId="0" applyNumberFormat="1" applyFont="1" applyBorder="1"/>
    <xf numFmtId="1" fontId="3" fillId="0" borderId="0" xfId="0" applyNumberFormat="1" applyFont="1" applyBorder="1"/>
    <xf numFmtId="165" fontId="3" fillId="0" borderId="0" xfId="0" applyNumberFormat="1" applyFont="1"/>
    <xf numFmtId="0" fontId="5" fillId="0" borderId="0" xfId="0" applyFont="1" applyBorder="1"/>
    <xf numFmtId="0" fontId="2" fillId="3" borderId="0" xfId="0" applyFont="1" applyFill="1"/>
    <xf numFmtId="0" fontId="5" fillId="0" borderId="0" xfId="0" applyFont="1" applyBorder="1" applyAlignment="1">
      <alignment wrapText="1"/>
    </xf>
    <xf numFmtId="0" fontId="3" fillId="0" borderId="0" xfId="0" applyFont="1" applyBorder="1"/>
    <xf numFmtId="0" fontId="2" fillId="0" borderId="0" xfId="0" applyFont="1" applyFill="1" applyBorder="1"/>
    <xf numFmtId="2" fontId="3" fillId="0" borderId="0" xfId="0" applyNumberFormat="1" applyFont="1" applyFill="1" applyBorder="1"/>
    <xf numFmtId="0" fontId="0" fillId="0" borderId="0" xfId="0" applyFont="1"/>
  </cellXfs>
  <cellStyles count="1">
    <cellStyle name="Normal" xfId="0" builtinId="0"/>
  </cellStyles>
  <dxfs count="38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66" formatCode="d\-mmm\-yy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Cells (ctrl + shift + 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Tables (ctrl + shift + 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 New Week (ctrl + shift + 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7:Q8" totalsRowShown="0" headerRowDxfId="37" dataDxfId="36" headerRowBorderDxfId="35">
  <autoFilter ref="A7:Q8"/>
  <tableColumns count="17">
    <tableColumn id="1" name="Date" dataDxfId="34">
      <calculatedColumnFormula>IF(TYPE(Sheet1!#REF!) = 1,Sheet1!#REF!,0)</calculatedColumnFormula>
    </tableColumn>
    <tableColumn id="2" name="Check-in" dataDxfId="32" totalsRowDxfId="33">
      <calculatedColumnFormula>IF(TYPE(Sheet1!#REF!) = 1,Sheet1!#REF!,0)</calculatedColumnFormula>
    </tableColumn>
    <tableColumn id="3" name="Check-out" dataDxfId="30" totalsRowDxfId="31">
      <calculatedColumnFormula>IF(TYPE(Sheet1!#REF!) = 1,Sheet1!#REF!,0)</calculatedColumnFormula>
    </tableColumn>
    <tableColumn id="4" name="Total Hours" dataDxfId="28" totalsRowDxfId="29">
      <calculatedColumnFormula>IF(Table2[[#This Row],[Is Paid Leave?]] = 1, 8.5, IF(Table2[[#This Row],[Date]]&lt;&gt;0,MOD(C8-B8,1)*24,""))</calculatedColumnFormula>
    </tableColumn>
    <tableColumn id="5" name="Weekly Hours" dataDxfId="26" totalsRowDxfId="27">
      <calculatedColumnFormula>IF(AND(Table2[[#This Row],[Date]]=0,A7&lt;&gt;0),SUMIFS(D$1:D7, A$1:A7, "&gt;" &amp; A7-P7),"")</calculatedColumnFormula>
    </tableColumn>
    <tableColumn id="6" name="Core Hours" dataDxfId="24" totalsRowDxfId="25">
      <calculatedColumnFormula>IF(Table2[[#This Row],[Is Paid Leave?]] = 1, 5.5, IF(OR(WEEKDAY(Table2[[#This Row],[Date]]) = 6, WEEKDAY(Table2[[#This Row],[Date]]) = 7),"", IF(AND(Table2[[#This Row],[Check-in]] = 0, Table2[[#This Row],[Check-out]] = 0), -3, (L8 + M8) / 60)))</calculatedColumnFormula>
    </tableColumn>
    <tableColumn id="7" name="PTO (Hours)" dataDxfId="22" totalsRowDxfId="23">
      <calculatedColumnFormula>IF(Table2[[#This Row],[Weekly Hours]] &lt;&gt; "",IF(Table2[[#This Row],[Weekly Hours]] &gt; 42.5 - Table2[[#This Row],[Missing Core Hours Weekly]],3.43 - Table2[[#This Row],[Missing Core Hours Weekly]], 3.43 - (42.5-Table2[[#This Row],[Weekly Hours]])), "")</calculatedColumnFormula>
    </tableColumn>
    <tableColumn id="8" name="Came Late Core 1" dataDxfId="20" totalsRowDxfId="21">
      <calculatedColumnFormula>IF(Table2[[#This Row],[Is Paid Leave?]] = 1, 0, IF(AND(B8 &gt; Sheet1!$A$3, B8 &lt; Sheet1!$B$3), 24 * 60 * (B8 - Sheet1!$A$3), IF(Table2[[#This Row],[Check-in]] &gt; Sheet1!$B$3, IF(AND(Sheet2!A8 &lt;&gt; Sheet2!A7, Sheet2!A8 &lt;&gt; 0), 210, IF(C7 &lt; Sheet1!$A$3, 210, 0)), 0)))</calculatedColumnFormula>
    </tableColumn>
    <tableColumn id="9" name="Left Early Core 1" dataDxfId="18" totalsRowDxfId="19">
      <calculatedColumnFormula>IFERROR(IF(AND(C8 &gt; Sheet1!$A$3, C8 &lt; Sheet1!$B$3), 24 * 60 * (Sheet1!$B$3 - C8), 0), 0)</calculatedColumnFormula>
    </tableColumn>
    <tableColumn id="10" name="Came Late Core 2" dataDxfId="16" totalsRowDxfId="17">
      <calculatedColumnFormula>IFERROR(IF(AND(B8 &gt; Sheet1!$C$3, B8 &lt; Sheet1!$D$3), 24 * 60 * (B8 - Sheet1!$C$3), 0), 0)</calculatedColumnFormula>
    </tableColumn>
    <tableColumn id="11" name="Left Early Core 2" dataDxfId="14" totalsRowDxfId="15">
      <calculatedColumnFormula>IF(Table2[[#This Row],[Is Paid Leave?]] = 1, 0, IF(Table2[[#This Row],[Check-out]] = Table2[[#This Row],[Check-in]], 0, IF(AND(C8 &gt; Sheet1!$C$3, C8 &lt; Sheet1!$D$3), 24 * 60 * (Sheet1!$D$3 - C8), IF(Table2[[#This Row],[Check-out]] &lt; Sheet1!$C$3, IF(AND(Sheet2!A8 &lt;&gt; Sheet2!A9, Sheet2!A8 &lt;&gt; 0), 120, IF(B9 &gt; Sheet1!$D$3, 120, 0)), 0))))</calculatedColumnFormula>
    </tableColumn>
    <tableColumn id="12" name="Core1 (Min)" dataDxfId="12" totalsRowDxfId="13">
      <calculatedColumnFormula array="1">IF($A8 = $A7, 0, A$5 - (H8 + I8 + IF($A8 = $A9:$A19, H9:H19 + I9:I19 + IF(AND(H9:H19 &gt; 0, I8:I18 &gt; 0), 0, 0), 0)))</calculatedColumnFormula>
    </tableColumn>
    <tableColumn id="13" name="Core2 (Min)" dataDxfId="10" totalsRowDxfId="11">
      <calculatedColumnFormula array="1">IF($A8 = $A7, 0, C$5 - ( J8 + K8 + IF($A8 = $A9:$A19, J9:J19 + K9:K19 + IF(AND(J9:J19 &gt; 0, K8:K18 &gt; 0), -C$5, 0), 0)))</calculatedColumnFormula>
    </tableColumn>
    <tableColumn id="14" name="Missing Core Hours Weekly" dataDxfId="8" totalsRowDxfId="9">
      <calculatedColumnFormula>IF(AND(Table2[[#This Row],[Date]] = 0,A7 &lt;&gt; 0), IF(IFERROR(SEARCH( "Flex", Sheet1!#REF!), 0), 0, 27.5 - SUMIFS(F$1:F7, A$1:A7, "&gt;" &amp; A7-7)), "")</calculatedColumnFormula>
    </tableColumn>
    <tableColumn id="15" name="Is Paid Leave?" dataDxfId="6" totalsRowDxfId="7">
      <calculatedColumnFormula>IF(OR(IFERROR(SEARCH("Official Vacation",Sheet1!#REF!),0),IFERROR(SEARCH("Sick",Sheet1!#REF!),0),IFERROR(SEARCH("Holiday",Sheet1!#REF!),0)),1,0)</calculatedColumnFormula>
    </tableColumn>
    <tableColumn id="17" name="Is Flex Day?" dataDxfId="4" totalsRowDxfId="5"/>
    <tableColumn id="16" name="Day of Week (1 is Sunday)" dataDxfId="2" totalsRowDxfId="3">
      <calculatedColumnFormula>WEEKDAY(Table2[[#This Row],[Date]])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24"/>
  <sheetViews>
    <sheetView tabSelected="1" workbookViewId="0">
      <selection activeCell="B11" sqref="B11"/>
    </sheetView>
  </sheetViews>
  <sheetFormatPr defaultRowHeight="14.4" x14ac:dyDescent="0.3"/>
  <cols>
    <col min="1" max="1" width="30.44140625" bestFit="1" customWidth="1"/>
    <col min="2" max="2" width="23" bestFit="1" customWidth="1"/>
    <col min="3" max="3" width="12.109375" style="10" bestFit="1" customWidth="1"/>
    <col min="4" max="4" width="15.109375" style="10" bestFit="1" customWidth="1"/>
    <col min="5" max="5" width="11" style="7" bestFit="1" customWidth="1"/>
    <col min="6" max="6" width="19.109375" style="6" customWidth="1"/>
    <col min="7" max="7" width="13" style="7" customWidth="1"/>
  </cols>
  <sheetData>
    <row r="1" spans="1:7" x14ac:dyDescent="0.3">
      <c r="A1" s="1" t="s">
        <v>0</v>
      </c>
      <c r="B1" s="2"/>
      <c r="C1" s="3" t="s">
        <v>1</v>
      </c>
      <c r="D1" s="4"/>
      <c r="E1" s="5"/>
    </row>
    <row r="2" spans="1:7" x14ac:dyDescent="0.3">
      <c r="A2" s="8" t="s">
        <v>2</v>
      </c>
      <c r="B2" s="9" t="s">
        <v>3</v>
      </c>
      <c r="C2" s="10" t="s">
        <v>2</v>
      </c>
      <c r="D2" s="11" t="s">
        <v>3</v>
      </c>
      <c r="E2" s="5"/>
    </row>
    <row r="3" spans="1:7" x14ac:dyDescent="0.3">
      <c r="A3" s="12">
        <v>0.39583333333333331</v>
      </c>
      <c r="B3" s="12">
        <v>0.54166666666666663</v>
      </c>
      <c r="C3" s="12">
        <v>0.60416666666666663</v>
      </c>
      <c r="D3" s="13">
        <v>0.6875</v>
      </c>
      <c r="E3" s="5"/>
    </row>
    <row r="4" spans="1:7" x14ac:dyDescent="0.3">
      <c r="A4" s="14"/>
      <c r="B4" s="14"/>
      <c r="E4" s="5"/>
      <c r="F4" s="15"/>
      <c r="G4" s="5"/>
    </row>
    <row r="5" spans="1:7" x14ac:dyDescent="0.3">
      <c r="A5" s="16" t="s">
        <v>4</v>
      </c>
      <c r="B5" s="42">
        <v>38.51</v>
      </c>
      <c r="C5" s="18" t="s">
        <v>5</v>
      </c>
      <c r="D5" s="18"/>
      <c r="E5" s="17" t="s">
        <v>6</v>
      </c>
      <c r="F5" s="19"/>
      <c r="G5" s="17"/>
    </row>
    <row r="6" spans="1:7" x14ac:dyDescent="0.3">
      <c r="A6" s="16" t="str">
        <f ca="1">"Current Balance Until " &amp; TEXT(TODAY(), "dd-MM-yyyy")</f>
        <v>Current Balance Until 28-01-2024</v>
      </c>
      <c r="B6" s="17">
        <f>$B$5 + SUM($G:$G )/ 8.5</f>
        <v>38.51</v>
      </c>
      <c r="C6" s="18" t="s">
        <v>5</v>
      </c>
      <c r="D6" s="18"/>
      <c r="E6" s="17"/>
      <c r="F6" s="19"/>
      <c r="G6" s="17"/>
    </row>
    <row r="7" spans="1:7" x14ac:dyDescent="0.3">
      <c r="F7" s="15"/>
      <c r="G7" s="5"/>
    </row>
    <row r="8" spans="1:7" x14ac:dyDescent="0.3">
      <c r="C8"/>
      <c r="D8"/>
      <c r="E8"/>
      <c r="F8"/>
      <c r="G8" s="20"/>
    </row>
    <row r="9" spans="1:7" x14ac:dyDescent="0.3">
      <c r="C9"/>
      <c r="D9"/>
      <c r="E9"/>
      <c r="F9"/>
      <c r="G9" s="20"/>
    </row>
    <row r="10" spans="1:7" x14ac:dyDescent="0.3">
      <c r="C10"/>
      <c r="D10"/>
      <c r="E10"/>
      <c r="F10"/>
      <c r="G10" s="20"/>
    </row>
    <row r="11" spans="1:7" x14ac:dyDescent="0.3">
      <c r="C11"/>
      <c r="D11"/>
      <c r="E11"/>
      <c r="F11"/>
      <c r="G11" s="20"/>
    </row>
    <row r="12" spans="1:7" x14ac:dyDescent="0.3">
      <c r="C12"/>
      <c r="D12"/>
      <c r="E12"/>
      <c r="F12"/>
      <c r="G12" s="20"/>
    </row>
    <row r="13" spans="1:7" x14ac:dyDescent="0.3">
      <c r="C13"/>
      <c r="D13"/>
      <c r="E13"/>
      <c r="F13"/>
      <c r="G13" s="20"/>
    </row>
    <row r="14" spans="1:7" x14ac:dyDescent="0.3">
      <c r="C14"/>
      <c r="D14"/>
      <c r="E14"/>
      <c r="F14"/>
      <c r="G14" s="20"/>
    </row>
    <row r="15" spans="1:7" x14ac:dyDescent="0.3">
      <c r="C15"/>
      <c r="D15"/>
      <c r="E15"/>
      <c r="F15"/>
      <c r="G15" s="20"/>
    </row>
    <row r="16" spans="1:7" x14ac:dyDescent="0.3">
      <c r="C16"/>
      <c r="D16"/>
      <c r="E16"/>
      <c r="F16"/>
      <c r="G16" s="20"/>
    </row>
    <row r="17" spans="3:7" x14ac:dyDescent="0.3">
      <c r="C17"/>
      <c r="D17"/>
      <c r="E17"/>
      <c r="F17"/>
      <c r="G17" s="20"/>
    </row>
    <row r="18" spans="3:7" x14ac:dyDescent="0.3">
      <c r="C18"/>
      <c r="D18"/>
      <c r="E18"/>
      <c r="F18"/>
      <c r="G18" s="20"/>
    </row>
    <row r="19" spans="3:7" x14ac:dyDescent="0.3">
      <c r="C19"/>
      <c r="D19"/>
      <c r="E19"/>
      <c r="F19"/>
      <c r="G19" s="20"/>
    </row>
    <row r="20" spans="3:7" x14ac:dyDescent="0.3">
      <c r="C20"/>
      <c r="D20"/>
      <c r="E20"/>
      <c r="F20"/>
      <c r="G20" s="20"/>
    </row>
    <row r="21" spans="3:7" x14ac:dyDescent="0.3">
      <c r="C21"/>
      <c r="D21"/>
      <c r="E21"/>
      <c r="F21"/>
      <c r="G21" s="20"/>
    </row>
    <row r="22" spans="3:7" x14ac:dyDescent="0.3">
      <c r="C22"/>
      <c r="D22"/>
      <c r="E22"/>
      <c r="F22"/>
      <c r="G22" s="20"/>
    </row>
    <row r="23" spans="3:7" x14ac:dyDescent="0.3">
      <c r="C23"/>
      <c r="D23"/>
      <c r="E23"/>
      <c r="F23"/>
      <c r="G23" s="20"/>
    </row>
    <row r="24" spans="3:7" x14ac:dyDescent="0.3">
      <c r="C24"/>
      <c r="D24"/>
      <c r="E24"/>
      <c r="F24"/>
      <c r="G24" s="20"/>
    </row>
    <row r="25" spans="3:7" x14ac:dyDescent="0.3">
      <c r="C25"/>
      <c r="D25"/>
      <c r="E25"/>
      <c r="F25"/>
      <c r="G25" s="20"/>
    </row>
    <row r="26" spans="3:7" x14ac:dyDescent="0.3">
      <c r="C26"/>
      <c r="D26"/>
      <c r="E26"/>
      <c r="F26"/>
      <c r="G26" s="20"/>
    </row>
    <row r="27" spans="3:7" x14ac:dyDescent="0.3">
      <c r="C27"/>
      <c r="D27"/>
      <c r="E27"/>
      <c r="F27"/>
      <c r="G27" s="20"/>
    </row>
    <row r="28" spans="3:7" x14ac:dyDescent="0.3">
      <c r="C28"/>
      <c r="D28"/>
      <c r="E28"/>
      <c r="F28"/>
      <c r="G28" s="20"/>
    </row>
    <row r="29" spans="3:7" x14ac:dyDescent="0.3">
      <c r="C29"/>
      <c r="D29"/>
      <c r="E29"/>
      <c r="F29"/>
      <c r="G29" s="20"/>
    </row>
    <row r="30" spans="3:7" x14ac:dyDescent="0.3">
      <c r="C30"/>
      <c r="D30"/>
      <c r="E30"/>
      <c r="F30"/>
      <c r="G30" s="20"/>
    </row>
    <row r="31" spans="3:7" x14ac:dyDescent="0.3">
      <c r="C31"/>
      <c r="D31"/>
      <c r="E31"/>
      <c r="F31"/>
      <c r="G31" s="20"/>
    </row>
    <row r="32" spans="3:7" x14ac:dyDescent="0.3">
      <c r="C32"/>
      <c r="D32"/>
      <c r="E32"/>
      <c r="F32"/>
      <c r="G32" s="20"/>
    </row>
    <row r="33" spans="3:7" x14ac:dyDescent="0.3">
      <c r="C33"/>
      <c r="D33"/>
      <c r="E33"/>
      <c r="F33"/>
      <c r="G33" s="20"/>
    </row>
    <row r="34" spans="3:7" x14ac:dyDescent="0.3">
      <c r="C34"/>
      <c r="D34"/>
      <c r="E34"/>
      <c r="F34"/>
      <c r="G34" s="20"/>
    </row>
    <row r="35" spans="3:7" x14ac:dyDescent="0.3">
      <c r="C35"/>
      <c r="D35"/>
      <c r="E35"/>
      <c r="F35"/>
      <c r="G35" s="20"/>
    </row>
    <row r="36" spans="3:7" x14ac:dyDescent="0.3">
      <c r="C36"/>
      <c r="D36"/>
      <c r="E36"/>
      <c r="F36"/>
      <c r="G36" s="20"/>
    </row>
    <row r="37" spans="3:7" x14ac:dyDescent="0.3">
      <c r="C37"/>
      <c r="D37"/>
      <c r="E37"/>
      <c r="F37"/>
      <c r="G37" s="20"/>
    </row>
    <row r="38" spans="3:7" x14ac:dyDescent="0.3">
      <c r="C38"/>
      <c r="D38"/>
      <c r="E38"/>
      <c r="F38"/>
      <c r="G38" s="20"/>
    </row>
    <row r="39" spans="3:7" x14ac:dyDescent="0.3">
      <c r="C39"/>
      <c r="D39"/>
      <c r="E39"/>
      <c r="F39"/>
      <c r="G39" s="20"/>
    </row>
    <row r="40" spans="3:7" x14ac:dyDescent="0.3">
      <c r="C40"/>
      <c r="D40"/>
      <c r="E40"/>
      <c r="F40"/>
      <c r="G40" s="20"/>
    </row>
    <row r="41" spans="3:7" x14ac:dyDescent="0.3">
      <c r="C41"/>
      <c r="D41"/>
      <c r="E41"/>
      <c r="F41"/>
      <c r="G41" s="20"/>
    </row>
    <row r="42" spans="3:7" x14ac:dyDescent="0.3">
      <c r="C42"/>
      <c r="D42"/>
      <c r="E42"/>
      <c r="F42"/>
      <c r="G42" s="20"/>
    </row>
    <row r="43" spans="3:7" x14ac:dyDescent="0.3">
      <c r="C43"/>
      <c r="D43"/>
      <c r="E43"/>
      <c r="F43"/>
      <c r="G43" s="20"/>
    </row>
    <row r="44" spans="3:7" x14ac:dyDescent="0.3">
      <c r="C44"/>
      <c r="D44"/>
      <c r="E44"/>
      <c r="F44"/>
      <c r="G44" s="20"/>
    </row>
    <row r="45" spans="3:7" x14ac:dyDescent="0.3">
      <c r="C45"/>
      <c r="D45"/>
      <c r="E45"/>
      <c r="F45"/>
      <c r="G45" s="20"/>
    </row>
    <row r="46" spans="3:7" x14ac:dyDescent="0.3">
      <c r="C46"/>
      <c r="D46"/>
      <c r="E46"/>
      <c r="F46"/>
      <c r="G46" s="20"/>
    </row>
    <row r="47" spans="3:7" x14ac:dyDescent="0.3">
      <c r="C47"/>
      <c r="D47"/>
      <c r="E47"/>
      <c r="F47"/>
      <c r="G47" s="20"/>
    </row>
    <row r="48" spans="3:7" x14ac:dyDescent="0.3">
      <c r="C48"/>
      <c r="D48"/>
      <c r="E48"/>
      <c r="F48"/>
      <c r="G48" s="20"/>
    </row>
    <row r="49" spans="3:7" x14ac:dyDescent="0.3">
      <c r="C49"/>
      <c r="D49"/>
      <c r="E49"/>
      <c r="F49"/>
      <c r="G49" s="20"/>
    </row>
    <row r="50" spans="3:7" x14ac:dyDescent="0.3">
      <c r="C50"/>
      <c r="D50"/>
      <c r="E50"/>
      <c r="F50"/>
      <c r="G50" s="20"/>
    </row>
    <row r="51" spans="3:7" x14ac:dyDescent="0.3">
      <c r="C51"/>
      <c r="D51"/>
      <c r="E51"/>
      <c r="F51"/>
      <c r="G51" s="20"/>
    </row>
    <row r="52" spans="3:7" x14ac:dyDescent="0.3">
      <c r="C52"/>
      <c r="D52"/>
      <c r="E52"/>
      <c r="F52"/>
      <c r="G52" s="20"/>
    </row>
    <row r="53" spans="3:7" x14ac:dyDescent="0.3">
      <c r="C53"/>
      <c r="D53"/>
      <c r="E53"/>
      <c r="F53"/>
      <c r="G53" s="20"/>
    </row>
    <row r="54" spans="3:7" x14ac:dyDescent="0.3">
      <c r="C54"/>
      <c r="D54"/>
      <c r="E54"/>
      <c r="F54"/>
      <c r="G54" s="20"/>
    </row>
    <row r="55" spans="3:7" x14ac:dyDescent="0.3">
      <c r="C55"/>
      <c r="D55"/>
      <c r="E55"/>
      <c r="F55"/>
      <c r="G55" s="20"/>
    </row>
    <row r="56" spans="3:7" x14ac:dyDescent="0.3">
      <c r="C56"/>
      <c r="D56"/>
      <c r="E56"/>
      <c r="F56"/>
      <c r="G56" s="20"/>
    </row>
    <row r="57" spans="3:7" x14ac:dyDescent="0.3">
      <c r="C57"/>
      <c r="D57"/>
      <c r="E57"/>
      <c r="F57"/>
      <c r="G57" s="20"/>
    </row>
    <row r="58" spans="3:7" x14ac:dyDescent="0.3">
      <c r="C58"/>
      <c r="D58"/>
      <c r="E58"/>
      <c r="F58"/>
      <c r="G58" s="20"/>
    </row>
    <row r="59" spans="3:7" x14ac:dyDescent="0.3">
      <c r="C59"/>
      <c r="D59"/>
      <c r="E59"/>
      <c r="F59"/>
      <c r="G59" s="20"/>
    </row>
    <row r="60" spans="3:7" x14ac:dyDescent="0.3">
      <c r="C60"/>
      <c r="D60"/>
      <c r="E60"/>
      <c r="F60"/>
      <c r="G60" s="20"/>
    </row>
    <row r="61" spans="3:7" x14ac:dyDescent="0.3">
      <c r="C61"/>
      <c r="D61"/>
      <c r="E61"/>
      <c r="F61"/>
      <c r="G61" s="20"/>
    </row>
    <row r="62" spans="3:7" x14ac:dyDescent="0.3">
      <c r="C62"/>
      <c r="D62"/>
      <c r="E62"/>
      <c r="F62"/>
      <c r="G62" s="20"/>
    </row>
    <row r="63" spans="3:7" x14ac:dyDescent="0.3">
      <c r="C63"/>
      <c r="D63"/>
      <c r="E63"/>
      <c r="F63"/>
      <c r="G63" s="20"/>
    </row>
    <row r="64" spans="3:7" x14ac:dyDescent="0.3">
      <c r="C64"/>
      <c r="D64"/>
      <c r="E64"/>
      <c r="F64"/>
      <c r="G64" s="20"/>
    </row>
    <row r="65" spans="3:7" x14ac:dyDescent="0.3">
      <c r="C65"/>
      <c r="D65"/>
      <c r="E65"/>
      <c r="F65"/>
      <c r="G65" s="20"/>
    </row>
    <row r="66" spans="3:7" x14ac:dyDescent="0.3">
      <c r="C66"/>
      <c r="D66"/>
      <c r="E66"/>
      <c r="F66"/>
      <c r="G66" s="20"/>
    </row>
    <row r="67" spans="3:7" x14ac:dyDescent="0.3">
      <c r="C67"/>
      <c r="D67"/>
      <c r="E67"/>
      <c r="F67"/>
      <c r="G67" s="20"/>
    </row>
    <row r="68" spans="3:7" x14ac:dyDescent="0.3">
      <c r="C68"/>
      <c r="D68"/>
      <c r="E68"/>
      <c r="F68"/>
      <c r="G68" s="20"/>
    </row>
    <row r="69" spans="3:7" x14ac:dyDescent="0.3">
      <c r="C69"/>
      <c r="D69"/>
      <c r="E69"/>
      <c r="F69"/>
      <c r="G69" s="20"/>
    </row>
    <row r="70" spans="3:7" x14ac:dyDescent="0.3">
      <c r="C70"/>
      <c r="D70"/>
      <c r="E70"/>
      <c r="F70"/>
      <c r="G70" s="20"/>
    </row>
    <row r="71" spans="3:7" x14ac:dyDescent="0.3">
      <c r="C71"/>
      <c r="D71"/>
      <c r="E71"/>
      <c r="F71"/>
      <c r="G71" s="20"/>
    </row>
    <row r="72" spans="3:7" x14ac:dyDescent="0.3">
      <c r="C72"/>
      <c r="D72"/>
      <c r="E72"/>
      <c r="F72"/>
      <c r="G72" s="20"/>
    </row>
    <row r="73" spans="3:7" x14ac:dyDescent="0.3">
      <c r="C73"/>
      <c r="D73"/>
      <c r="E73"/>
      <c r="F73"/>
      <c r="G73" s="20"/>
    </row>
    <row r="74" spans="3:7" x14ac:dyDescent="0.3">
      <c r="C74"/>
      <c r="D74"/>
      <c r="E74"/>
      <c r="F74"/>
      <c r="G74" s="20"/>
    </row>
    <row r="75" spans="3:7" x14ac:dyDescent="0.3">
      <c r="C75"/>
      <c r="D75"/>
      <c r="E75"/>
      <c r="F75"/>
      <c r="G75" s="20"/>
    </row>
    <row r="76" spans="3:7" x14ac:dyDescent="0.3">
      <c r="C76"/>
      <c r="D76"/>
      <c r="E76"/>
      <c r="F76"/>
      <c r="G76" s="20"/>
    </row>
    <row r="77" spans="3:7" x14ac:dyDescent="0.3">
      <c r="C77"/>
      <c r="D77"/>
      <c r="E77"/>
      <c r="F77"/>
      <c r="G77" s="20"/>
    </row>
    <row r="78" spans="3:7" x14ac:dyDescent="0.3">
      <c r="C78"/>
      <c r="D78"/>
      <c r="E78"/>
      <c r="F78"/>
      <c r="G78" s="20"/>
    </row>
    <row r="79" spans="3:7" x14ac:dyDescent="0.3">
      <c r="C79"/>
      <c r="D79"/>
      <c r="E79"/>
      <c r="F79"/>
      <c r="G79" s="20"/>
    </row>
    <row r="80" spans="3:7" x14ac:dyDescent="0.3">
      <c r="C80"/>
      <c r="D80"/>
      <c r="E80"/>
      <c r="F80"/>
      <c r="G80" s="20"/>
    </row>
    <row r="81" spans="3:7" x14ac:dyDescent="0.3">
      <c r="C81"/>
      <c r="D81"/>
      <c r="E81"/>
      <c r="F81"/>
      <c r="G81" s="20"/>
    </row>
    <row r="82" spans="3:7" x14ac:dyDescent="0.3">
      <c r="C82"/>
      <c r="D82"/>
      <c r="E82"/>
      <c r="F82"/>
      <c r="G82" s="20"/>
    </row>
    <row r="83" spans="3:7" x14ac:dyDescent="0.3">
      <c r="C83"/>
      <c r="D83"/>
      <c r="E83"/>
      <c r="F83"/>
      <c r="G83" s="20"/>
    </row>
    <row r="84" spans="3:7" x14ac:dyDescent="0.3">
      <c r="C84"/>
      <c r="D84"/>
      <c r="E84"/>
      <c r="F84"/>
      <c r="G84" s="20"/>
    </row>
    <row r="85" spans="3:7" x14ac:dyDescent="0.3">
      <c r="C85"/>
      <c r="D85"/>
      <c r="E85"/>
      <c r="F85"/>
      <c r="G85" s="20"/>
    </row>
    <row r="86" spans="3:7" x14ac:dyDescent="0.3">
      <c r="C86"/>
      <c r="D86"/>
      <c r="E86"/>
      <c r="F86"/>
      <c r="G86" s="20"/>
    </row>
    <row r="87" spans="3:7" x14ac:dyDescent="0.3">
      <c r="C87"/>
      <c r="D87"/>
      <c r="E87"/>
      <c r="F87"/>
      <c r="G87" s="20"/>
    </row>
    <row r="88" spans="3:7" x14ac:dyDescent="0.3">
      <c r="C88"/>
      <c r="D88"/>
      <c r="E88"/>
      <c r="F88"/>
      <c r="G88" s="20"/>
    </row>
    <row r="89" spans="3:7" x14ac:dyDescent="0.3">
      <c r="C89"/>
      <c r="D89"/>
      <c r="E89"/>
      <c r="F89"/>
      <c r="G89" s="20"/>
    </row>
    <row r="90" spans="3:7" x14ac:dyDescent="0.3">
      <c r="C90"/>
      <c r="D90"/>
      <c r="E90"/>
      <c r="F90"/>
      <c r="G90" s="20"/>
    </row>
    <row r="91" spans="3:7" x14ac:dyDescent="0.3">
      <c r="C91"/>
      <c r="D91"/>
      <c r="E91"/>
      <c r="F91"/>
      <c r="G91" s="20"/>
    </row>
    <row r="92" spans="3:7" x14ac:dyDescent="0.3">
      <c r="C92"/>
      <c r="D92"/>
      <c r="E92"/>
      <c r="F92"/>
      <c r="G92" s="20"/>
    </row>
    <row r="93" spans="3:7" x14ac:dyDescent="0.3">
      <c r="C93"/>
      <c r="D93"/>
      <c r="E93"/>
      <c r="F93"/>
      <c r="G93" s="20"/>
    </row>
    <row r="94" spans="3:7" x14ac:dyDescent="0.3">
      <c r="C94"/>
      <c r="D94"/>
      <c r="E94"/>
      <c r="F94"/>
      <c r="G94" s="20"/>
    </row>
    <row r="95" spans="3:7" x14ac:dyDescent="0.3">
      <c r="C95"/>
      <c r="D95"/>
      <c r="E95"/>
      <c r="F95"/>
      <c r="G95" s="20"/>
    </row>
    <row r="96" spans="3:7" x14ac:dyDescent="0.3">
      <c r="C96"/>
      <c r="D96"/>
      <c r="E96"/>
      <c r="F96"/>
      <c r="G96" s="20"/>
    </row>
    <row r="97" spans="3:7" x14ac:dyDescent="0.3">
      <c r="C97"/>
      <c r="D97"/>
      <c r="E97"/>
      <c r="F97"/>
      <c r="G97" s="20"/>
    </row>
    <row r="98" spans="3:7" x14ac:dyDescent="0.3">
      <c r="C98"/>
      <c r="D98"/>
      <c r="E98"/>
      <c r="F98"/>
      <c r="G98" s="20"/>
    </row>
    <row r="99" spans="3:7" x14ac:dyDescent="0.3">
      <c r="C99"/>
      <c r="D99"/>
      <c r="E99"/>
      <c r="F99"/>
      <c r="G99" s="20"/>
    </row>
    <row r="100" spans="3:7" x14ac:dyDescent="0.3">
      <c r="C100"/>
      <c r="D100"/>
      <c r="E100"/>
      <c r="F100"/>
      <c r="G100" s="20"/>
    </row>
    <row r="101" spans="3:7" x14ac:dyDescent="0.3">
      <c r="C101"/>
      <c r="D101"/>
      <c r="E101"/>
      <c r="F101"/>
      <c r="G101" s="20"/>
    </row>
    <row r="102" spans="3:7" x14ac:dyDescent="0.3">
      <c r="C102"/>
      <c r="D102"/>
      <c r="E102"/>
      <c r="F102"/>
      <c r="G102" s="20"/>
    </row>
    <row r="103" spans="3:7" x14ac:dyDescent="0.3">
      <c r="C103"/>
      <c r="D103"/>
      <c r="E103"/>
      <c r="F103"/>
      <c r="G103" s="20"/>
    </row>
    <row r="104" spans="3:7" x14ac:dyDescent="0.3">
      <c r="C104"/>
      <c r="D104"/>
      <c r="E104"/>
      <c r="F104"/>
      <c r="G104" s="20"/>
    </row>
    <row r="105" spans="3:7" x14ac:dyDescent="0.3">
      <c r="C105"/>
      <c r="D105"/>
      <c r="E105"/>
      <c r="F105"/>
      <c r="G105" s="20"/>
    </row>
    <row r="106" spans="3:7" x14ac:dyDescent="0.3">
      <c r="C106"/>
      <c r="D106"/>
      <c r="E106"/>
      <c r="F106"/>
      <c r="G106" s="20"/>
    </row>
    <row r="107" spans="3:7" x14ac:dyDescent="0.3">
      <c r="C107"/>
      <c r="D107"/>
      <c r="E107"/>
      <c r="F107"/>
      <c r="G107" s="20"/>
    </row>
    <row r="108" spans="3:7" x14ac:dyDescent="0.3">
      <c r="C108"/>
      <c r="D108"/>
      <c r="E108"/>
      <c r="F108"/>
      <c r="G108" s="20"/>
    </row>
    <row r="109" spans="3:7" x14ac:dyDescent="0.3">
      <c r="C109"/>
      <c r="D109"/>
      <c r="E109"/>
      <c r="F109"/>
      <c r="G109" s="20"/>
    </row>
    <row r="110" spans="3:7" x14ac:dyDescent="0.3">
      <c r="C110"/>
      <c r="D110"/>
      <c r="E110"/>
      <c r="F110"/>
      <c r="G110" s="20"/>
    </row>
    <row r="111" spans="3:7" x14ac:dyDescent="0.3">
      <c r="C111"/>
      <c r="D111"/>
      <c r="E111"/>
      <c r="F111"/>
      <c r="G111" s="20"/>
    </row>
    <row r="112" spans="3:7" x14ac:dyDescent="0.3">
      <c r="C112"/>
      <c r="D112"/>
      <c r="E112"/>
      <c r="F112"/>
      <c r="G112" s="20"/>
    </row>
    <row r="113" spans="3:7" x14ac:dyDescent="0.3">
      <c r="C113"/>
      <c r="D113"/>
      <c r="E113"/>
      <c r="F113"/>
      <c r="G113" s="20"/>
    </row>
    <row r="114" spans="3:7" x14ac:dyDescent="0.3">
      <c r="C114"/>
      <c r="D114"/>
      <c r="E114"/>
      <c r="F114"/>
      <c r="G114" s="20"/>
    </row>
    <row r="115" spans="3:7" x14ac:dyDescent="0.3">
      <c r="C115"/>
      <c r="D115"/>
      <c r="E115"/>
      <c r="F115"/>
      <c r="G115" s="20"/>
    </row>
    <row r="116" spans="3:7" x14ac:dyDescent="0.3">
      <c r="C116"/>
      <c r="D116"/>
      <c r="E116"/>
      <c r="F116"/>
      <c r="G116" s="20"/>
    </row>
    <row r="117" spans="3:7" x14ac:dyDescent="0.3">
      <c r="C117"/>
      <c r="D117"/>
      <c r="E117"/>
      <c r="F117"/>
      <c r="G117" s="20"/>
    </row>
    <row r="118" spans="3:7" x14ac:dyDescent="0.3">
      <c r="C118"/>
      <c r="D118"/>
      <c r="E118"/>
      <c r="F118"/>
      <c r="G118" s="20"/>
    </row>
    <row r="119" spans="3:7" x14ac:dyDescent="0.3">
      <c r="C119"/>
      <c r="D119"/>
      <c r="E119"/>
      <c r="F119"/>
      <c r="G119" s="20"/>
    </row>
    <row r="120" spans="3:7" x14ac:dyDescent="0.3">
      <c r="C120"/>
      <c r="D120"/>
      <c r="E120"/>
      <c r="F120"/>
      <c r="G120" s="20"/>
    </row>
    <row r="121" spans="3:7" x14ac:dyDescent="0.3">
      <c r="C121"/>
      <c r="D121"/>
      <c r="E121"/>
      <c r="F121"/>
      <c r="G121" s="20"/>
    </row>
    <row r="122" spans="3:7" x14ac:dyDescent="0.3">
      <c r="C122"/>
      <c r="D122"/>
      <c r="E122"/>
      <c r="F122"/>
      <c r="G122" s="20"/>
    </row>
    <row r="123" spans="3:7" x14ac:dyDescent="0.3">
      <c r="C123"/>
      <c r="D123"/>
      <c r="E123"/>
      <c r="F123"/>
      <c r="G123" s="20"/>
    </row>
    <row r="124" spans="3:7" x14ac:dyDescent="0.3">
      <c r="C124"/>
      <c r="D124"/>
      <c r="E124"/>
      <c r="F124"/>
      <c r="G124" s="20"/>
    </row>
    <row r="125" spans="3:7" x14ac:dyDescent="0.3">
      <c r="C125"/>
      <c r="D125"/>
      <c r="E125"/>
      <c r="F125"/>
      <c r="G125" s="20"/>
    </row>
    <row r="126" spans="3:7" x14ac:dyDescent="0.3">
      <c r="C126"/>
      <c r="D126"/>
      <c r="E126"/>
      <c r="F126"/>
      <c r="G126" s="20"/>
    </row>
    <row r="127" spans="3:7" x14ac:dyDescent="0.3">
      <c r="C127"/>
      <c r="D127"/>
      <c r="E127"/>
      <c r="F127"/>
      <c r="G127" s="20"/>
    </row>
    <row r="128" spans="3:7" x14ac:dyDescent="0.3">
      <c r="C128"/>
      <c r="D128"/>
      <c r="E128"/>
      <c r="F128"/>
      <c r="G128" s="20"/>
    </row>
    <row r="129" spans="3:7" x14ac:dyDescent="0.3">
      <c r="C129"/>
      <c r="D129"/>
      <c r="E129"/>
      <c r="F129"/>
      <c r="G129" s="20"/>
    </row>
    <row r="130" spans="3:7" x14ac:dyDescent="0.3">
      <c r="C130"/>
      <c r="D130"/>
      <c r="E130"/>
      <c r="F130"/>
      <c r="G130" s="20"/>
    </row>
    <row r="131" spans="3:7" x14ac:dyDescent="0.3">
      <c r="C131"/>
      <c r="D131"/>
      <c r="E131"/>
      <c r="F131"/>
      <c r="G131" s="20"/>
    </row>
    <row r="132" spans="3:7" x14ac:dyDescent="0.3">
      <c r="C132"/>
      <c r="D132"/>
      <c r="E132"/>
      <c r="F132"/>
      <c r="G132" s="20"/>
    </row>
    <row r="133" spans="3:7" x14ac:dyDescent="0.3">
      <c r="C133"/>
      <c r="D133"/>
      <c r="E133"/>
      <c r="F133"/>
      <c r="G133" s="20"/>
    </row>
    <row r="134" spans="3:7" x14ac:dyDescent="0.3">
      <c r="C134"/>
      <c r="D134"/>
      <c r="E134"/>
      <c r="F134"/>
      <c r="G134" s="20"/>
    </row>
    <row r="135" spans="3:7" x14ac:dyDescent="0.3">
      <c r="C135"/>
      <c r="D135"/>
      <c r="E135"/>
      <c r="F135"/>
      <c r="G135" s="20"/>
    </row>
    <row r="136" spans="3:7" x14ac:dyDescent="0.3">
      <c r="C136"/>
      <c r="D136"/>
      <c r="E136"/>
      <c r="F136"/>
      <c r="G136" s="20"/>
    </row>
    <row r="137" spans="3:7" x14ac:dyDescent="0.3">
      <c r="C137"/>
      <c r="D137"/>
      <c r="E137"/>
      <c r="F137"/>
      <c r="G137" s="20"/>
    </row>
    <row r="138" spans="3:7" x14ac:dyDescent="0.3">
      <c r="C138"/>
      <c r="D138"/>
      <c r="E138"/>
      <c r="F138"/>
      <c r="G138" s="20"/>
    </row>
    <row r="139" spans="3:7" x14ac:dyDescent="0.3">
      <c r="C139"/>
      <c r="D139"/>
      <c r="E139"/>
      <c r="F139"/>
      <c r="G139" s="20"/>
    </row>
    <row r="140" spans="3:7" x14ac:dyDescent="0.3">
      <c r="C140"/>
      <c r="D140"/>
      <c r="E140"/>
      <c r="F140"/>
      <c r="G140" s="20"/>
    </row>
    <row r="141" spans="3:7" x14ac:dyDescent="0.3">
      <c r="C141"/>
      <c r="D141"/>
      <c r="E141"/>
      <c r="F141"/>
      <c r="G141" s="20"/>
    </row>
    <row r="142" spans="3:7" x14ac:dyDescent="0.3">
      <c r="C142"/>
      <c r="D142"/>
      <c r="E142"/>
      <c r="F142"/>
      <c r="G142" s="20"/>
    </row>
    <row r="143" spans="3:7" x14ac:dyDescent="0.3">
      <c r="C143"/>
      <c r="D143"/>
      <c r="E143"/>
      <c r="F143"/>
      <c r="G143" s="20"/>
    </row>
    <row r="144" spans="3:7" x14ac:dyDescent="0.3">
      <c r="C144"/>
      <c r="D144"/>
      <c r="E144"/>
      <c r="F144"/>
      <c r="G144" s="20"/>
    </row>
    <row r="145" spans="3:7" x14ac:dyDescent="0.3">
      <c r="C145"/>
      <c r="D145"/>
      <c r="E145"/>
      <c r="F145"/>
      <c r="G145" s="20"/>
    </row>
    <row r="146" spans="3:7" x14ac:dyDescent="0.3">
      <c r="C146"/>
      <c r="D146"/>
      <c r="E146"/>
      <c r="F146"/>
      <c r="G146" s="20"/>
    </row>
    <row r="147" spans="3:7" x14ac:dyDescent="0.3">
      <c r="C147"/>
      <c r="D147"/>
      <c r="E147"/>
      <c r="F147"/>
      <c r="G147" s="20"/>
    </row>
    <row r="148" spans="3:7" x14ac:dyDescent="0.3">
      <c r="C148"/>
      <c r="D148"/>
      <c r="E148"/>
      <c r="F148"/>
      <c r="G148" s="20"/>
    </row>
    <row r="149" spans="3:7" x14ac:dyDescent="0.3">
      <c r="C149"/>
      <c r="D149"/>
      <c r="E149"/>
      <c r="F149"/>
      <c r="G149" s="20"/>
    </row>
    <row r="150" spans="3:7" x14ac:dyDescent="0.3">
      <c r="C150"/>
      <c r="D150"/>
      <c r="E150"/>
      <c r="F150"/>
      <c r="G150" s="20"/>
    </row>
    <row r="151" spans="3:7" x14ac:dyDescent="0.3">
      <c r="C151"/>
      <c r="D151"/>
      <c r="E151"/>
      <c r="F151"/>
      <c r="G151" s="20"/>
    </row>
    <row r="152" spans="3:7" x14ac:dyDescent="0.3">
      <c r="C152"/>
      <c r="D152"/>
      <c r="E152"/>
      <c r="F152"/>
      <c r="G152" s="20"/>
    </row>
    <row r="153" spans="3:7" x14ac:dyDescent="0.3">
      <c r="C153"/>
      <c r="D153"/>
      <c r="E153"/>
      <c r="F153"/>
      <c r="G153" s="20"/>
    </row>
    <row r="154" spans="3:7" x14ac:dyDescent="0.3">
      <c r="C154"/>
      <c r="D154"/>
      <c r="E154"/>
      <c r="F154"/>
      <c r="G154" s="20"/>
    </row>
    <row r="155" spans="3:7" x14ac:dyDescent="0.3">
      <c r="C155"/>
      <c r="D155"/>
      <c r="E155"/>
      <c r="F155"/>
      <c r="G155" s="20"/>
    </row>
    <row r="156" spans="3:7" x14ac:dyDescent="0.3">
      <c r="C156"/>
      <c r="D156"/>
      <c r="E156"/>
      <c r="F156"/>
      <c r="G156" s="20"/>
    </row>
    <row r="157" spans="3:7" x14ac:dyDescent="0.3">
      <c r="C157"/>
      <c r="D157"/>
      <c r="E157"/>
      <c r="F157"/>
      <c r="G157" s="20"/>
    </row>
    <row r="158" spans="3:7" x14ac:dyDescent="0.3">
      <c r="C158"/>
      <c r="D158"/>
      <c r="E158"/>
      <c r="F158"/>
      <c r="G158" s="20"/>
    </row>
    <row r="159" spans="3:7" x14ac:dyDescent="0.3">
      <c r="C159"/>
      <c r="D159"/>
      <c r="E159"/>
      <c r="F159"/>
      <c r="G159" s="20"/>
    </row>
    <row r="160" spans="3:7" x14ac:dyDescent="0.3">
      <c r="C160"/>
      <c r="D160"/>
      <c r="E160"/>
      <c r="F160"/>
      <c r="G160" s="20"/>
    </row>
    <row r="161" spans="3:7" x14ac:dyDescent="0.3">
      <c r="C161"/>
      <c r="D161"/>
      <c r="E161"/>
      <c r="F161"/>
      <c r="G161" s="20"/>
    </row>
    <row r="162" spans="3:7" x14ac:dyDescent="0.3">
      <c r="C162"/>
      <c r="D162"/>
      <c r="E162"/>
      <c r="F162"/>
      <c r="G162" s="20"/>
    </row>
    <row r="163" spans="3:7" x14ac:dyDescent="0.3">
      <c r="C163"/>
      <c r="D163"/>
      <c r="E163"/>
      <c r="F163"/>
      <c r="G163" s="20"/>
    </row>
    <row r="164" spans="3:7" x14ac:dyDescent="0.3">
      <c r="C164"/>
      <c r="D164"/>
      <c r="E164"/>
      <c r="F164"/>
      <c r="G164" s="20"/>
    </row>
    <row r="165" spans="3:7" x14ac:dyDescent="0.3">
      <c r="C165"/>
      <c r="D165"/>
      <c r="E165"/>
      <c r="F165"/>
      <c r="G165" s="20"/>
    </row>
    <row r="166" spans="3:7" x14ac:dyDescent="0.3">
      <c r="C166"/>
      <c r="D166"/>
      <c r="E166"/>
      <c r="F166"/>
      <c r="G166" s="20"/>
    </row>
    <row r="167" spans="3:7" x14ac:dyDescent="0.3">
      <c r="C167"/>
      <c r="D167"/>
      <c r="E167"/>
      <c r="F167"/>
      <c r="G167" s="20"/>
    </row>
    <row r="168" spans="3:7" x14ac:dyDescent="0.3">
      <c r="C168"/>
      <c r="D168"/>
      <c r="E168"/>
      <c r="F168"/>
      <c r="G168" s="20"/>
    </row>
    <row r="169" spans="3:7" x14ac:dyDescent="0.3">
      <c r="C169"/>
      <c r="D169"/>
      <c r="E169"/>
      <c r="F169"/>
      <c r="G169" s="20"/>
    </row>
    <row r="170" spans="3:7" x14ac:dyDescent="0.3">
      <c r="C170"/>
      <c r="D170"/>
      <c r="E170"/>
      <c r="F170"/>
      <c r="G170" s="20"/>
    </row>
    <row r="171" spans="3:7" x14ac:dyDescent="0.3">
      <c r="C171"/>
      <c r="D171"/>
      <c r="E171"/>
      <c r="F171"/>
      <c r="G171" s="20"/>
    </row>
    <row r="172" spans="3:7" x14ac:dyDescent="0.3">
      <c r="C172"/>
      <c r="D172"/>
      <c r="E172"/>
      <c r="F172"/>
      <c r="G172" s="20"/>
    </row>
    <row r="173" spans="3:7" x14ac:dyDescent="0.3">
      <c r="C173"/>
      <c r="D173"/>
      <c r="E173"/>
      <c r="F173"/>
      <c r="G173" s="20"/>
    </row>
    <row r="174" spans="3:7" x14ac:dyDescent="0.3">
      <c r="C174"/>
      <c r="D174"/>
      <c r="E174"/>
      <c r="F174"/>
      <c r="G174" s="20"/>
    </row>
    <row r="175" spans="3:7" x14ac:dyDescent="0.3">
      <c r="C175"/>
      <c r="D175"/>
      <c r="E175"/>
      <c r="F175"/>
      <c r="G175" s="20"/>
    </row>
    <row r="176" spans="3:7" x14ac:dyDescent="0.3">
      <c r="C176"/>
      <c r="D176"/>
      <c r="E176"/>
      <c r="F176"/>
      <c r="G176" s="20"/>
    </row>
    <row r="177" spans="3:7" x14ac:dyDescent="0.3">
      <c r="C177"/>
      <c r="D177"/>
      <c r="E177"/>
      <c r="F177"/>
      <c r="G177" s="20"/>
    </row>
    <row r="178" spans="3:7" x14ac:dyDescent="0.3">
      <c r="C178"/>
      <c r="D178"/>
      <c r="E178"/>
      <c r="F178"/>
      <c r="G178" s="20"/>
    </row>
    <row r="179" spans="3:7" x14ac:dyDescent="0.3">
      <c r="C179"/>
      <c r="D179"/>
      <c r="E179"/>
      <c r="F179"/>
      <c r="G179" s="20"/>
    </row>
    <row r="180" spans="3:7" x14ac:dyDescent="0.3">
      <c r="C180"/>
      <c r="D180"/>
      <c r="E180"/>
      <c r="F180"/>
      <c r="G180" s="20"/>
    </row>
    <row r="181" spans="3:7" x14ac:dyDescent="0.3">
      <c r="C181"/>
      <c r="D181"/>
      <c r="E181"/>
      <c r="F181"/>
      <c r="G181" s="20"/>
    </row>
    <row r="182" spans="3:7" x14ac:dyDescent="0.3">
      <c r="C182"/>
      <c r="D182"/>
      <c r="E182"/>
      <c r="F182"/>
      <c r="G182" s="20"/>
    </row>
    <row r="183" spans="3:7" x14ac:dyDescent="0.3">
      <c r="C183"/>
      <c r="D183"/>
      <c r="E183"/>
      <c r="F183"/>
      <c r="G183" s="20"/>
    </row>
    <row r="184" spans="3:7" x14ac:dyDescent="0.3">
      <c r="C184"/>
      <c r="D184"/>
      <c r="E184"/>
      <c r="F184"/>
      <c r="G184" s="20"/>
    </row>
    <row r="185" spans="3:7" x14ac:dyDescent="0.3">
      <c r="C185"/>
      <c r="D185"/>
      <c r="E185"/>
      <c r="F185"/>
      <c r="G185" s="20"/>
    </row>
    <row r="186" spans="3:7" x14ac:dyDescent="0.3">
      <c r="C186"/>
      <c r="D186"/>
      <c r="E186"/>
      <c r="F186"/>
      <c r="G186" s="20"/>
    </row>
    <row r="187" spans="3:7" x14ac:dyDescent="0.3">
      <c r="C187"/>
      <c r="D187"/>
      <c r="E187"/>
      <c r="F187"/>
      <c r="G187" s="20"/>
    </row>
    <row r="188" spans="3:7" x14ac:dyDescent="0.3">
      <c r="C188"/>
      <c r="D188"/>
      <c r="E188"/>
      <c r="F188"/>
      <c r="G188" s="20"/>
    </row>
    <row r="189" spans="3:7" x14ac:dyDescent="0.3">
      <c r="C189"/>
      <c r="D189"/>
      <c r="E189"/>
      <c r="F189"/>
      <c r="G189" s="20"/>
    </row>
    <row r="190" spans="3:7" x14ac:dyDescent="0.3">
      <c r="C190"/>
      <c r="D190"/>
      <c r="E190"/>
      <c r="F190"/>
      <c r="G190" s="20"/>
    </row>
    <row r="191" spans="3:7" x14ac:dyDescent="0.3">
      <c r="C191"/>
      <c r="D191"/>
      <c r="E191"/>
      <c r="F191"/>
      <c r="G191" s="20"/>
    </row>
    <row r="192" spans="3:7" x14ac:dyDescent="0.3">
      <c r="C192"/>
      <c r="D192"/>
      <c r="E192"/>
      <c r="F192"/>
      <c r="G192" s="20"/>
    </row>
    <row r="193" spans="3:7" x14ac:dyDescent="0.3">
      <c r="C193"/>
      <c r="D193"/>
      <c r="E193"/>
      <c r="F193"/>
      <c r="G193" s="20"/>
    </row>
    <row r="194" spans="3:7" x14ac:dyDescent="0.3">
      <c r="C194"/>
      <c r="D194"/>
      <c r="E194"/>
      <c r="F194"/>
      <c r="G194" s="20"/>
    </row>
    <row r="195" spans="3:7" x14ac:dyDescent="0.3">
      <c r="C195"/>
      <c r="D195"/>
      <c r="E195"/>
      <c r="F195"/>
      <c r="G195" s="20"/>
    </row>
    <row r="196" spans="3:7" x14ac:dyDescent="0.3">
      <c r="C196"/>
      <c r="D196"/>
      <c r="E196"/>
      <c r="F196"/>
      <c r="G196" s="20"/>
    </row>
    <row r="197" spans="3:7" x14ac:dyDescent="0.3">
      <c r="C197"/>
      <c r="D197"/>
      <c r="E197"/>
      <c r="F197"/>
      <c r="G197" s="20"/>
    </row>
    <row r="198" spans="3:7" x14ac:dyDescent="0.3">
      <c r="C198"/>
      <c r="D198"/>
      <c r="E198"/>
      <c r="F198"/>
      <c r="G198" s="20"/>
    </row>
    <row r="199" spans="3:7" x14ac:dyDescent="0.3">
      <c r="C199"/>
      <c r="D199"/>
      <c r="E199"/>
      <c r="F199"/>
      <c r="G199" s="20"/>
    </row>
    <row r="200" spans="3:7" x14ac:dyDescent="0.3">
      <c r="C200"/>
      <c r="D200"/>
      <c r="E200"/>
      <c r="F200"/>
      <c r="G200" s="20"/>
    </row>
    <row r="201" spans="3:7" x14ac:dyDescent="0.3">
      <c r="C201"/>
      <c r="D201"/>
      <c r="E201"/>
      <c r="F201"/>
      <c r="G201" s="20"/>
    </row>
    <row r="202" spans="3:7" x14ac:dyDescent="0.3">
      <c r="C202"/>
      <c r="D202"/>
      <c r="E202"/>
      <c r="F202"/>
      <c r="G202" s="20"/>
    </row>
    <row r="203" spans="3:7" x14ac:dyDescent="0.3">
      <c r="C203"/>
      <c r="D203"/>
      <c r="E203"/>
      <c r="F203"/>
      <c r="G203" s="20"/>
    </row>
    <row r="204" spans="3:7" x14ac:dyDescent="0.3">
      <c r="C204"/>
      <c r="D204"/>
      <c r="E204"/>
      <c r="F204"/>
      <c r="G204" s="20"/>
    </row>
    <row r="205" spans="3:7" x14ac:dyDescent="0.3">
      <c r="C205"/>
      <c r="D205"/>
      <c r="E205"/>
      <c r="F205"/>
      <c r="G205" s="20"/>
    </row>
    <row r="206" spans="3:7" x14ac:dyDescent="0.3">
      <c r="C206"/>
      <c r="D206"/>
      <c r="E206"/>
      <c r="F206"/>
      <c r="G206" s="20"/>
    </row>
    <row r="207" spans="3:7" x14ac:dyDescent="0.3">
      <c r="C207"/>
      <c r="D207"/>
      <c r="E207"/>
      <c r="F207"/>
      <c r="G207" s="20"/>
    </row>
    <row r="208" spans="3:7" x14ac:dyDescent="0.3">
      <c r="C208"/>
      <c r="D208"/>
      <c r="E208"/>
      <c r="F208"/>
      <c r="G208" s="20"/>
    </row>
    <row r="209" spans="3:7" x14ac:dyDescent="0.3">
      <c r="C209"/>
      <c r="D209"/>
      <c r="E209"/>
      <c r="F209"/>
      <c r="G209" s="20"/>
    </row>
    <row r="210" spans="3:7" x14ac:dyDescent="0.3">
      <c r="C210"/>
      <c r="D210"/>
      <c r="E210"/>
      <c r="F210"/>
      <c r="G210" s="20"/>
    </row>
    <row r="211" spans="3:7" x14ac:dyDescent="0.3">
      <c r="C211"/>
      <c r="D211"/>
      <c r="E211"/>
      <c r="F211"/>
      <c r="G211" s="20"/>
    </row>
    <row r="212" spans="3:7" x14ac:dyDescent="0.3">
      <c r="C212"/>
      <c r="D212"/>
      <c r="E212"/>
      <c r="F212"/>
      <c r="G212" s="20"/>
    </row>
    <row r="213" spans="3:7" x14ac:dyDescent="0.3">
      <c r="C213"/>
      <c r="D213"/>
      <c r="E213"/>
      <c r="F213"/>
      <c r="G213" s="20"/>
    </row>
    <row r="214" spans="3:7" x14ac:dyDescent="0.3">
      <c r="C214"/>
      <c r="D214"/>
      <c r="E214"/>
      <c r="F214"/>
      <c r="G214" s="20"/>
    </row>
    <row r="215" spans="3:7" x14ac:dyDescent="0.3">
      <c r="C215"/>
      <c r="D215"/>
      <c r="E215"/>
      <c r="F215"/>
      <c r="G215" s="20"/>
    </row>
    <row r="216" spans="3:7" x14ac:dyDescent="0.3">
      <c r="C216"/>
      <c r="D216"/>
      <c r="E216"/>
      <c r="F216"/>
      <c r="G216" s="20"/>
    </row>
    <row r="217" spans="3:7" x14ac:dyDescent="0.3">
      <c r="C217"/>
      <c r="D217"/>
      <c r="E217"/>
      <c r="F217"/>
      <c r="G217" s="20"/>
    </row>
    <row r="218" spans="3:7" x14ac:dyDescent="0.3">
      <c r="C218"/>
      <c r="D218"/>
      <c r="E218"/>
      <c r="F218"/>
      <c r="G218" s="20"/>
    </row>
    <row r="219" spans="3:7" x14ac:dyDescent="0.3">
      <c r="C219"/>
      <c r="D219"/>
      <c r="E219"/>
      <c r="F219"/>
      <c r="G219" s="20"/>
    </row>
    <row r="220" spans="3:7" x14ac:dyDescent="0.3">
      <c r="C220"/>
      <c r="D220"/>
      <c r="E220"/>
      <c r="F220"/>
      <c r="G220" s="20"/>
    </row>
    <row r="221" spans="3:7" x14ac:dyDescent="0.3">
      <c r="C221"/>
      <c r="D221"/>
      <c r="E221"/>
      <c r="F221"/>
      <c r="G221" s="20"/>
    </row>
    <row r="222" spans="3:7" x14ac:dyDescent="0.3">
      <c r="C222"/>
      <c r="D222"/>
      <c r="E222"/>
      <c r="F222"/>
      <c r="G222" s="20"/>
    </row>
    <row r="223" spans="3:7" x14ac:dyDescent="0.3">
      <c r="C223"/>
      <c r="D223"/>
      <c r="E223"/>
      <c r="F223"/>
      <c r="G223" s="20"/>
    </row>
    <row r="224" spans="3:7" x14ac:dyDescent="0.3">
      <c r="C224"/>
      <c r="D224"/>
      <c r="E224"/>
      <c r="F224"/>
      <c r="G224" s="20"/>
    </row>
    <row r="225" spans="3:7" x14ac:dyDescent="0.3">
      <c r="C225"/>
      <c r="D225"/>
      <c r="E225"/>
      <c r="F225"/>
      <c r="G225" s="20"/>
    </row>
    <row r="226" spans="3:7" x14ac:dyDescent="0.3">
      <c r="C226"/>
      <c r="D226"/>
      <c r="E226"/>
      <c r="F226"/>
      <c r="G226" s="20"/>
    </row>
    <row r="227" spans="3:7" x14ac:dyDescent="0.3">
      <c r="C227"/>
      <c r="D227"/>
      <c r="E227"/>
      <c r="F227"/>
      <c r="G227" s="20"/>
    </row>
    <row r="228" spans="3:7" x14ac:dyDescent="0.3">
      <c r="C228"/>
      <c r="D228"/>
      <c r="E228"/>
      <c r="F228"/>
      <c r="G228" s="20"/>
    </row>
    <row r="229" spans="3:7" x14ac:dyDescent="0.3">
      <c r="C229"/>
      <c r="D229"/>
      <c r="E229"/>
      <c r="F229"/>
      <c r="G229" s="20"/>
    </row>
    <row r="230" spans="3:7" x14ac:dyDescent="0.3">
      <c r="C230"/>
      <c r="D230"/>
      <c r="E230"/>
      <c r="F230"/>
      <c r="G230" s="20"/>
    </row>
    <row r="231" spans="3:7" x14ac:dyDescent="0.3">
      <c r="C231"/>
      <c r="D231"/>
      <c r="E231"/>
      <c r="F231"/>
      <c r="G231" s="20"/>
    </row>
    <row r="232" spans="3:7" x14ac:dyDescent="0.3">
      <c r="C232"/>
      <c r="D232"/>
      <c r="E232"/>
      <c r="F232"/>
      <c r="G232" s="20"/>
    </row>
    <row r="233" spans="3:7" x14ac:dyDescent="0.3">
      <c r="C233"/>
      <c r="D233"/>
      <c r="E233"/>
      <c r="F233"/>
      <c r="G233" s="20"/>
    </row>
    <row r="234" spans="3:7" x14ac:dyDescent="0.3">
      <c r="C234"/>
      <c r="D234"/>
      <c r="E234"/>
      <c r="F234"/>
      <c r="G234" s="20"/>
    </row>
    <row r="235" spans="3:7" x14ac:dyDescent="0.3">
      <c r="C235"/>
      <c r="D235"/>
      <c r="E235"/>
      <c r="F235"/>
      <c r="G235" s="20"/>
    </row>
    <row r="236" spans="3:7" x14ac:dyDescent="0.3">
      <c r="C236"/>
      <c r="D236"/>
      <c r="E236"/>
      <c r="F236"/>
      <c r="G236" s="20"/>
    </row>
    <row r="237" spans="3:7" x14ac:dyDescent="0.3">
      <c r="C237"/>
      <c r="D237"/>
      <c r="E237"/>
      <c r="F237"/>
      <c r="G237" s="20"/>
    </row>
    <row r="238" spans="3:7" x14ac:dyDescent="0.3">
      <c r="C238"/>
      <c r="D238"/>
      <c r="E238"/>
      <c r="F238"/>
      <c r="G238" s="20"/>
    </row>
    <row r="239" spans="3:7" x14ac:dyDescent="0.3">
      <c r="C239"/>
      <c r="D239"/>
      <c r="E239"/>
      <c r="F239"/>
      <c r="G239" s="20"/>
    </row>
    <row r="240" spans="3:7" x14ac:dyDescent="0.3">
      <c r="C240"/>
      <c r="D240"/>
      <c r="E240"/>
      <c r="F240"/>
      <c r="G240" s="20"/>
    </row>
    <row r="241" spans="3:7" x14ac:dyDescent="0.3">
      <c r="C241"/>
      <c r="D241"/>
      <c r="E241"/>
      <c r="F241"/>
      <c r="G241" s="20"/>
    </row>
    <row r="242" spans="3:7" x14ac:dyDescent="0.3">
      <c r="C242"/>
      <c r="D242"/>
      <c r="E242"/>
      <c r="F242"/>
      <c r="G242" s="20"/>
    </row>
    <row r="243" spans="3:7" x14ac:dyDescent="0.3">
      <c r="C243"/>
      <c r="D243"/>
      <c r="E243"/>
      <c r="F243"/>
      <c r="G243" s="20"/>
    </row>
    <row r="244" spans="3:7" x14ac:dyDescent="0.3">
      <c r="C244"/>
      <c r="D244"/>
      <c r="E244"/>
      <c r="F244"/>
      <c r="G244" s="20"/>
    </row>
    <row r="245" spans="3:7" x14ac:dyDescent="0.3">
      <c r="C245"/>
      <c r="D245"/>
      <c r="E245"/>
      <c r="F245"/>
      <c r="G245" s="20"/>
    </row>
    <row r="246" spans="3:7" x14ac:dyDescent="0.3">
      <c r="C246"/>
      <c r="D246"/>
      <c r="E246"/>
      <c r="F246"/>
      <c r="G246" s="20"/>
    </row>
    <row r="247" spans="3:7" x14ac:dyDescent="0.3">
      <c r="C247"/>
      <c r="D247"/>
      <c r="E247"/>
      <c r="F247"/>
      <c r="G247" s="20"/>
    </row>
    <row r="248" spans="3:7" x14ac:dyDescent="0.3">
      <c r="C248"/>
      <c r="D248"/>
      <c r="E248"/>
      <c r="F248"/>
      <c r="G248" s="20"/>
    </row>
    <row r="249" spans="3:7" x14ac:dyDescent="0.3">
      <c r="C249"/>
      <c r="D249"/>
      <c r="E249"/>
      <c r="F249"/>
      <c r="G249" s="20"/>
    </row>
    <row r="250" spans="3:7" x14ac:dyDescent="0.3">
      <c r="C250"/>
      <c r="D250"/>
      <c r="E250"/>
      <c r="F250"/>
      <c r="G250" s="20"/>
    </row>
    <row r="251" spans="3:7" x14ac:dyDescent="0.3">
      <c r="C251"/>
      <c r="D251"/>
      <c r="E251"/>
      <c r="F251"/>
      <c r="G251" s="20"/>
    </row>
    <row r="252" spans="3:7" x14ac:dyDescent="0.3">
      <c r="C252"/>
      <c r="D252"/>
      <c r="E252"/>
      <c r="F252"/>
      <c r="G252" s="20"/>
    </row>
    <row r="253" spans="3:7" x14ac:dyDescent="0.3">
      <c r="C253"/>
      <c r="D253"/>
      <c r="E253"/>
      <c r="F253"/>
      <c r="G253" s="20"/>
    </row>
    <row r="254" spans="3:7" x14ac:dyDescent="0.3">
      <c r="C254"/>
      <c r="D254"/>
      <c r="E254"/>
      <c r="F254"/>
      <c r="G254" s="20"/>
    </row>
    <row r="255" spans="3:7" x14ac:dyDescent="0.3">
      <c r="C255"/>
      <c r="D255"/>
      <c r="E255"/>
      <c r="F255"/>
      <c r="G255" s="20"/>
    </row>
    <row r="256" spans="3:7" x14ac:dyDescent="0.3">
      <c r="C256"/>
      <c r="D256"/>
      <c r="E256"/>
      <c r="F256"/>
      <c r="G256" s="20"/>
    </row>
    <row r="257" spans="3:7" x14ac:dyDescent="0.3">
      <c r="C257"/>
      <c r="D257"/>
      <c r="E257"/>
      <c r="F257"/>
      <c r="G257" s="20"/>
    </row>
    <row r="258" spans="3:7" x14ac:dyDescent="0.3">
      <c r="C258"/>
      <c r="D258"/>
      <c r="E258"/>
      <c r="F258"/>
      <c r="G258" s="20"/>
    </row>
    <row r="259" spans="3:7" x14ac:dyDescent="0.3">
      <c r="C259"/>
      <c r="D259"/>
      <c r="E259"/>
      <c r="F259"/>
      <c r="G259" s="20"/>
    </row>
    <row r="260" spans="3:7" x14ac:dyDescent="0.3">
      <c r="C260"/>
      <c r="D260"/>
      <c r="E260"/>
      <c r="F260"/>
      <c r="G260" s="20"/>
    </row>
    <row r="261" spans="3:7" x14ac:dyDescent="0.3">
      <c r="C261"/>
      <c r="D261"/>
      <c r="E261"/>
      <c r="F261"/>
      <c r="G261" s="20"/>
    </row>
    <row r="262" spans="3:7" x14ac:dyDescent="0.3">
      <c r="C262"/>
      <c r="D262"/>
      <c r="E262"/>
      <c r="F262"/>
      <c r="G262" s="20"/>
    </row>
    <row r="263" spans="3:7" x14ac:dyDescent="0.3">
      <c r="C263"/>
      <c r="D263"/>
      <c r="E263"/>
      <c r="F263"/>
      <c r="G263" s="20"/>
    </row>
    <row r="264" spans="3:7" x14ac:dyDescent="0.3">
      <c r="C264"/>
      <c r="D264"/>
      <c r="E264"/>
      <c r="F264"/>
      <c r="G264" s="20"/>
    </row>
    <row r="265" spans="3:7" x14ac:dyDescent="0.3">
      <c r="C265"/>
      <c r="D265"/>
      <c r="E265"/>
      <c r="F265"/>
      <c r="G265" s="20"/>
    </row>
    <row r="266" spans="3:7" x14ac:dyDescent="0.3">
      <c r="C266"/>
      <c r="D266"/>
      <c r="E266"/>
      <c r="F266"/>
      <c r="G266" s="20"/>
    </row>
    <row r="267" spans="3:7" x14ac:dyDescent="0.3">
      <c r="C267"/>
      <c r="D267"/>
      <c r="E267"/>
      <c r="F267"/>
      <c r="G267" s="20"/>
    </row>
    <row r="268" spans="3:7" x14ac:dyDescent="0.3">
      <c r="C268"/>
      <c r="D268"/>
      <c r="E268"/>
      <c r="F268"/>
      <c r="G268" s="20"/>
    </row>
    <row r="269" spans="3:7" x14ac:dyDescent="0.3">
      <c r="C269"/>
      <c r="D269"/>
      <c r="E269"/>
      <c r="F269"/>
      <c r="G269" s="20"/>
    </row>
    <row r="270" spans="3:7" x14ac:dyDescent="0.3">
      <c r="C270"/>
      <c r="D270"/>
      <c r="E270"/>
      <c r="F270"/>
      <c r="G270" s="20"/>
    </row>
    <row r="271" spans="3:7" x14ac:dyDescent="0.3">
      <c r="C271"/>
      <c r="D271"/>
      <c r="E271"/>
      <c r="F271"/>
      <c r="G271" s="20"/>
    </row>
    <row r="272" spans="3:7" x14ac:dyDescent="0.3">
      <c r="C272"/>
      <c r="D272"/>
      <c r="E272"/>
      <c r="F272"/>
      <c r="G272" s="20"/>
    </row>
    <row r="273" spans="3:7" x14ac:dyDescent="0.3">
      <c r="C273"/>
      <c r="D273"/>
      <c r="E273"/>
      <c r="F273"/>
      <c r="G273" s="20"/>
    </row>
    <row r="274" spans="3:7" x14ac:dyDescent="0.3">
      <c r="C274"/>
      <c r="D274"/>
      <c r="E274"/>
      <c r="F274"/>
      <c r="G274" s="20"/>
    </row>
    <row r="275" spans="3:7" x14ac:dyDescent="0.3">
      <c r="C275"/>
      <c r="D275"/>
      <c r="E275"/>
      <c r="F275"/>
      <c r="G275" s="20"/>
    </row>
    <row r="276" spans="3:7" x14ac:dyDescent="0.3">
      <c r="C276"/>
      <c r="D276"/>
      <c r="E276"/>
      <c r="F276"/>
      <c r="G276" s="20"/>
    </row>
    <row r="277" spans="3:7" x14ac:dyDescent="0.3">
      <c r="C277"/>
      <c r="D277"/>
      <c r="E277"/>
      <c r="F277"/>
      <c r="G277" s="20"/>
    </row>
    <row r="278" spans="3:7" x14ac:dyDescent="0.3">
      <c r="C278"/>
      <c r="D278"/>
      <c r="E278"/>
      <c r="F278"/>
      <c r="G278" s="20"/>
    </row>
    <row r="279" spans="3:7" x14ac:dyDescent="0.3">
      <c r="C279"/>
      <c r="D279"/>
      <c r="E279"/>
      <c r="F279"/>
      <c r="G279" s="20"/>
    </row>
    <row r="280" spans="3:7" x14ac:dyDescent="0.3">
      <c r="C280"/>
      <c r="D280"/>
      <c r="E280"/>
      <c r="F280"/>
      <c r="G280" s="20"/>
    </row>
    <row r="281" spans="3:7" x14ac:dyDescent="0.3">
      <c r="C281"/>
      <c r="D281"/>
      <c r="E281"/>
      <c r="F281"/>
      <c r="G281" s="20"/>
    </row>
    <row r="282" spans="3:7" x14ac:dyDescent="0.3">
      <c r="C282"/>
      <c r="D282"/>
      <c r="E282"/>
      <c r="F282"/>
      <c r="G282" s="20"/>
    </row>
    <row r="283" spans="3:7" x14ac:dyDescent="0.3">
      <c r="C283"/>
      <c r="D283"/>
      <c r="E283"/>
      <c r="F283"/>
      <c r="G283" s="20"/>
    </row>
    <row r="284" spans="3:7" x14ac:dyDescent="0.3">
      <c r="C284"/>
      <c r="D284"/>
      <c r="E284"/>
      <c r="F284"/>
      <c r="G284" s="20"/>
    </row>
    <row r="285" spans="3:7" x14ac:dyDescent="0.3">
      <c r="C285"/>
      <c r="D285"/>
      <c r="E285"/>
      <c r="F285"/>
      <c r="G285" s="20"/>
    </row>
    <row r="286" spans="3:7" x14ac:dyDescent="0.3">
      <c r="C286"/>
      <c r="D286"/>
      <c r="E286"/>
      <c r="F286"/>
      <c r="G286" s="20"/>
    </row>
    <row r="287" spans="3:7" x14ac:dyDescent="0.3">
      <c r="C287"/>
      <c r="D287"/>
      <c r="E287"/>
      <c r="F287"/>
      <c r="G287" s="20"/>
    </row>
    <row r="288" spans="3:7" x14ac:dyDescent="0.3">
      <c r="C288"/>
      <c r="D288"/>
      <c r="E288"/>
      <c r="F288"/>
      <c r="G288" s="20"/>
    </row>
    <row r="289" spans="3:7" x14ac:dyDescent="0.3">
      <c r="C289"/>
      <c r="D289"/>
      <c r="E289"/>
      <c r="F289"/>
      <c r="G289" s="20"/>
    </row>
    <row r="290" spans="3:7" x14ac:dyDescent="0.3">
      <c r="C290"/>
      <c r="D290"/>
      <c r="E290"/>
      <c r="F290"/>
      <c r="G290" s="20"/>
    </row>
    <row r="291" spans="3:7" x14ac:dyDescent="0.3">
      <c r="C291"/>
      <c r="D291"/>
      <c r="E291"/>
      <c r="F291"/>
      <c r="G291" s="20"/>
    </row>
    <row r="292" spans="3:7" x14ac:dyDescent="0.3">
      <c r="C292"/>
      <c r="D292"/>
      <c r="E292"/>
      <c r="F292"/>
      <c r="G292" s="20"/>
    </row>
    <row r="293" spans="3:7" x14ac:dyDescent="0.3">
      <c r="C293"/>
      <c r="D293"/>
      <c r="E293"/>
      <c r="F293"/>
      <c r="G293" s="20"/>
    </row>
    <row r="294" spans="3:7" x14ac:dyDescent="0.3">
      <c r="C294"/>
      <c r="D294"/>
      <c r="E294"/>
      <c r="F294"/>
      <c r="G294" s="20"/>
    </row>
    <row r="295" spans="3:7" x14ac:dyDescent="0.3">
      <c r="C295"/>
      <c r="D295"/>
      <c r="E295"/>
      <c r="F295"/>
      <c r="G295" s="20"/>
    </row>
    <row r="296" spans="3:7" x14ac:dyDescent="0.3">
      <c r="C296"/>
      <c r="D296"/>
      <c r="E296"/>
      <c r="F296"/>
      <c r="G296" s="20"/>
    </row>
    <row r="297" spans="3:7" x14ac:dyDescent="0.3">
      <c r="C297"/>
      <c r="D297"/>
      <c r="E297"/>
      <c r="F297"/>
      <c r="G297" s="20"/>
    </row>
    <row r="298" spans="3:7" x14ac:dyDescent="0.3">
      <c r="C298"/>
      <c r="D298"/>
      <c r="E298"/>
      <c r="F298"/>
      <c r="G298" s="20"/>
    </row>
    <row r="299" spans="3:7" x14ac:dyDescent="0.3">
      <c r="C299"/>
      <c r="D299"/>
      <c r="E299"/>
      <c r="F299"/>
      <c r="G299" s="20"/>
    </row>
    <row r="300" spans="3:7" x14ac:dyDescent="0.3">
      <c r="C300"/>
      <c r="D300"/>
      <c r="E300"/>
      <c r="F300"/>
      <c r="G300" s="20"/>
    </row>
    <row r="301" spans="3:7" x14ac:dyDescent="0.3">
      <c r="C301"/>
      <c r="D301"/>
      <c r="E301"/>
      <c r="F301"/>
      <c r="G301" s="20"/>
    </row>
    <row r="302" spans="3:7" x14ac:dyDescent="0.3">
      <c r="C302"/>
      <c r="D302"/>
      <c r="E302"/>
      <c r="F302"/>
      <c r="G302" s="20"/>
    </row>
    <row r="303" spans="3:7" x14ac:dyDescent="0.3">
      <c r="C303"/>
      <c r="D303"/>
      <c r="E303"/>
      <c r="F303"/>
      <c r="G303" s="20"/>
    </row>
    <row r="304" spans="3:7" x14ac:dyDescent="0.3">
      <c r="C304"/>
      <c r="D304"/>
      <c r="E304"/>
      <c r="F304"/>
      <c r="G304" s="20"/>
    </row>
    <row r="305" spans="3:7" x14ac:dyDescent="0.3">
      <c r="C305"/>
      <c r="D305"/>
      <c r="E305"/>
      <c r="F305"/>
      <c r="G305" s="20"/>
    </row>
    <row r="306" spans="3:7" x14ac:dyDescent="0.3">
      <c r="C306"/>
      <c r="D306"/>
      <c r="E306"/>
      <c r="F306"/>
      <c r="G306" s="20"/>
    </row>
    <row r="307" spans="3:7" x14ac:dyDescent="0.3">
      <c r="C307"/>
      <c r="D307"/>
      <c r="E307"/>
      <c r="F307"/>
      <c r="G307" s="20"/>
    </row>
    <row r="308" spans="3:7" x14ac:dyDescent="0.3">
      <c r="C308"/>
      <c r="D308"/>
      <c r="E308"/>
      <c r="F308"/>
      <c r="G308" s="20"/>
    </row>
    <row r="309" spans="3:7" x14ac:dyDescent="0.3">
      <c r="C309"/>
      <c r="D309"/>
      <c r="E309"/>
      <c r="F309"/>
      <c r="G309" s="20"/>
    </row>
    <row r="310" spans="3:7" x14ac:dyDescent="0.3">
      <c r="C310"/>
      <c r="D310"/>
      <c r="E310"/>
      <c r="F310"/>
      <c r="G310" s="20"/>
    </row>
    <row r="311" spans="3:7" x14ac:dyDescent="0.3">
      <c r="C311"/>
      <c r="D311"/>
      <c r="E311"/>
      <c r="F311"/>
      <c r="G311" s="20"/>
    </row>
    <row r="312" spans="3:7" x14ac:dyDescent="0.3">
      <c r="C312"/>
      <c r="D312"/>
      <c r="E312"/>
      <c r="F312"/>
      <c r="G312" s="20"/>
    </row>
    <row r="313" spans="3:7" x14ac:dyDescent="0.3">
      <c r="C313"/>
      <c r="D313"/>
      <c r="E313"/>
      <c r="F313"/>
      <c r="G313" s="20"/>
    </row>
    <row r="314" spans="3:7" x14ac:dyDescent="0.3">
      <c r="C314"/>
      <c r="D314"/>
      <c r="E314"/>
      <c r="F314"/>
      <c r="G314" s="20"/>
    </row>
    <row r="315" spans="3:7" x14ac:dyDescent="0.3">
      <c r="C315"/>
      <c r="D315"/>
      <c r="E315"/>
      <c r="F315"/>
      <c r="G315" s="20"/>
    </row>
    <row r="316" spans="3:7" x14ac:dyDescent="0.3">
      <c r="C316"/>
      <c r="D316"/>
      <c r="E316"/>
      <c r="F316"/>
      <c r="G316" s="20"/>
    </row>
    <row r="317" spans="3:7" x14ac:dyDescent="0.3">
      <c r="C317"/>
      <c r="D317"/>
      <c r="E317"/>
      <c r="F317"/>
      <c r="G317" s="20"/>
    </row>
    <row r="318" spans="3:7" x14ac:dyDescent="0.3">
      <c r="C318"/>
      <c r="D318"/>
      <c r="E318"/>
      <c r="F318"/>
      <c r="G318" s="20"/>
    </row>
    <row r="319" spans="3:7" x14ac:dyDescent="0.3">
      <c r="C319"/>
      <c r="D319"/>
      <c r="E319"/>
      <c r="F319"/>
      <c r="G319" s="20"/>
    </row>
    <row r="320" spans="3:7" x14ac:dyDescent="0.3">
      <c r="C320"/>
      <c r="D320"/>
      <c r="E320"/>
      <c r="F320"/>
      <c r="G320" s="20"/>
    </row>
    <row r="321" spans="3:7" x14ac:dyDescent="0.3">
      <c r="C321"/>
      <c r="D321"/>
      <c r="E321"/>
      <c r="F321"/>
      <c r="G321" s="20"/>
    </row>
    <row r="322" spans="3:7" x14ac:dyDescent="0.3">
      <c r="C322"/>
      <c r="D322"/>
      <c r="E322"/>
      <c r="F322"/>
      <c r="G322" s="20"/>
    </row>
    <row r="323" spans="3:7" x14ac:dyDescent="0.3">
      <c r="C323"/>
      <c r="D323"/>
      <c r="E323"/>
      <c r="F323"/>
      <c r="G323" s="20"/>
    </row>
    <row r="324" spans="3:7" x14ac:dyDescent="0.3">
      <c r="C324"/>
      <c r="D324"/>
      <c r="E324"/>
      <c r="F324"/>
      <c r="G324" s="20"/>
    </row>
    <row r="325" spans="3:7" x14ac:dyDescent="0.3">
      <c r="C325"/>
      <c r="D325"/>
      <c r="E325"/>
      <c r="F325"/>
      <c r="G325" s="20"/>
    </row>
    <row r="326" spans="3:7" x14ac:dyDescent="0.3">
      <c r="C326"/>
      <c r="D326"/>
      <c r="E326"/>
      <c r="F326"/>
      <c r="G326" s="20"/>
    </row>
    <row r="327" spans="3:7" x14ac:dyDescent="0.3">
      <c r="C327"/>
      <c r="D327"/>
      <c r="E327"/>
      <c r="F327"/>
      <c r="G327" s="20"/>
    </row>
    <row r="328" spans="3:7" x14ac:dyDescent="0.3">
      <c r="C328"/>
      <c r="D328"/>
      <c r="E328"/>
      <c r="F328"/>
      <c r="G328" s="20"/>
    </row>
    <row r="329" spans="3:7" x14ac:dyDescent="0.3">
      <c r="C329"/>
      <c r="D329"/>
      <c r="E329"/>
      <c r="F329"/>
      <c r="G329" s="20"/>
    </row>
    <row r="330" spans="3:7" x14ac:dyDescent="0.3">
      <c r="C330"/>
      <c r="D330"/>
      <c r="E330"/>
      <c r="F330"/>
      <c r="G330" s="20"/>
    </row>
    <row r="331" spans="3:7" x14ac:dyDescent="0.3">
      <c r="C331"/>
      <c r="D331"/>
      <c r="E331"/>
      <c r="F331"/>
      <c r="G331" s="20"/>
    </row>
    <row r="332" spans="3:7" x14ac:dyDescent="0.3">
      <c r="C332"/>
      <c r="D332"/>
      <c r="E332"/>
      <c r="F332"/>
      <c r="G332" s="20"/>
    </row>
    <row r="333" spans="3:7" x14ac:dyDescent="0.3">
      <c r="C333"/>
      <c r="D333"/>
      <c r="E333"/>
      <c r="F333"/>
      <c r="G333" s="20"/>
    </row>
    <row r="334" spans="3:7" x14ac:dyDescent="0.3">
      <c r="C334"/>
      <c r="D334"/>
      <c r="E334"/>
      <c r="F334"/>
      <c r="G334" s="20"/>
    </row>
    <row r="335" spans="3:7" x14ac:dyDescent="0.3">
      <c r="C335"/>
      <c r="D335"/>
      <c r="E335"/>
      <c r="F335"/>
      <c r="G335" s="20"/>
    </row>
    <row r="336" spans="3:7" x14ac:dyDescent="0.3">
      <c r="C336"/>
      <c r="D336"/>
      <c r="E336"/>
      <c r="F336"/>
      <c r="G336" s="20"/>
    </row>
    <row r="337" spans="3:7" x14ac:dyDescent="0.3">
      <c r="C337"/>
      <c r="D337"/>
      <c r="E337"/>
      <c r="F337"/>
      <c r="G337" s="20"/>
    </row>
    <row r="338" spans="3:7" x14ac:dyDescent="0.3">
      <c r="C338"/>
      <c r="D338"/>
      <c r="E338"/>
      <c r="F338"/>
      <c r="G338" s="20"/>
    </row>
    <row r="339" spans="3:7" x14ac:dyDescent="0.3">
      <c r="C339"/>
      <c r="D339"/>
      <c r="E339"/>
      <c r="F339"/>
      <c r="G339" s="20"/>
    </row>
    <row r="340" spans="3:7" x14ac:dyDescent="0.3">
      <c r="C340"/>
      <c r="D340"/>
      <c r="E340"/>
      <c r="F340"/>
      <c r="G340" s="20"/>
    </row>
    <row r="341" spans="3:7" x14ac:dyDescent="0.3">
      <c r="C341"/>
      <c r="D341"/>
      <c r="E341"/>
      <c r="F341"/>
      <c r="G341" s="20"/>
    </row>
    <row r="342" spans="3:7" x14ac:dyDescent="0.3">
      <c r="C342"/>
      <c r="D342"/>
      <c r="E342"/>
      <c r="F342"/>
      <c r="G342" s="20"/>
    </row>
    <row r="343" spans="3:7" x14ac:dyDescent="0.3">
      <c r="C343"/>
      <c r="D343"/>
      <c r="E343"/>
      <c r="F343"/>
      <c r="G343" s="20"/>
    </row>
    <row r="344" spans="3:7" x14ac:dyDescent="0.3">
      <c r="C344"/>
      <c r="D344"/>
      <c r="E344"/>
      <c r="F344"/>
      <c r="G344" s="20"/>
    </row>
    <row r="345" spans="3:7" x14ac:dyDescent="0.3">
      <c r="C345"/>
      <c r="D345"/>
      <c r="E345"/>
      <c r="F345"/>
      <c r="G345" s="20"/>
    </row>
    <row r="346" spans="3:7" x14ac:dyDescent="0.3">
      <c r="C346"/>
      <c r="D346"/>
      <c r="E346"/>
      <c r="F346"/>
      <c r="G346" s="20"/>
    </row>
    <row r="347" spans="3:7" x14ac:dyDescent="0.3">
      <c r="C347"/>
      <c r="D347"/>
      <c r="E347"/>
      <c r="F347"/>
      <c r="G347" s="20"/>
    </row>
    <row r="348" spans="3:7" x14ac:dyDescent="0.3">
      <c r="C348"/>
      <c r="D348"/>
      <c r="E348"/>
      <c r="F348"/>
      <c r="G348" s="20"/>
    </row>
    <row r="349" spans="3:7" x14ac:dyDescent="0.3">
      <c r="C349"/>
      <c r="D349"/>
      <c r="E349"/>
      <c r="F349"/>
      <c r="G349" s="20"/>
    </row>
    <row r="350" spans="3:7" x14ac:dyDescent="0.3">
      <c r="C350"/>
      <c r="D350"/>
      <c r="E350"/>
      <c r="F350"/>
      <c r="G350" s="20"/>
    </row>
    <row r="351" spans="3:7" x14ac:dyDescent="0.3">
      <c r="C351"/>
      <c r="D351"/>
      <c r="E351"/>
      <c r="F351"/>
      <c r="G351" s="20"/>
    </row>
    <row r="352" spans="3:7" x14ac:dyDescent="0.3">
      <c r="C352"/>
      <c r="D352"/>
      <c r="E352"/>
      <c r="F352"/>
      <c r="G352" s="20"/>
    </row>
    <row r="353" spans="3:7" x14ac:dyDescent="0.3">
      <c r="C353"/>
      <c r="D353"/>
      <c r="E353"/>
      <c r="F353"/>
      <c r="G353" s="20"/>
    </row>
    <row r="354" spans="3:7" x14ac:dyDescent="0.3">
      <c r="C354"/>
      <c r="D354"/>
      <c r="E354"/>
      <c r="F354"/>
      <c r="G354" s="20"/>
    </row>
    <row r="355" spans="3:7" x14ac:dyDescent="0.3">
      <c r="C355"/>
      <c r="D355"/>
      <c r="E355"/>
      <c r="F355"/>
      <c r="G355" s="20"/>
    </row>
    <row r="356" spans="3:7" x14ac:dyDescent="0.3">
      <c r="C356"/>
      <c r="D356"/>
      <c r="E356"/>
      <c r="F356"/>
      <c r="G356" s="20"/>
    </row>
    <row r="357" spans="3:7" x14ac:dyDescent="0.3">
      <c r="C357"/>
      <c r="D357"/>
      <c r="E357"/>
      <c r="F357"/>
      <c r="G357" s="20"/>
    </row>
    <row r="358" spans="3:7" x14ac:dyDescent="0.3">
      <c r="C358"/>
      <c r="D358"/>
      <c r="E358"/>
      <c r="F358"/>
      <c r="G358" s="20"/>
    </row>
    <row r="359" spans="3:7" x14ac:dyDescent="0.3">
      <c r="C359"/>
      <c r="D359"/>
      <c r="E359"/>
      <c r="F359"/>
      <c r="G359" s="20"/>
    </row>
    <row r="360" spans="3:7" x14ac:dyDescent="0.3">
      <c r="C360"/>
      <c r="D360"/>
      <c r="E360"/>
      <c r="F360"/>
      <c r="G360" s="20"/>
    </row>
    <row r="361" spans="3:7" x14ac:dyDescent="0.3">
      <c r="C361"/>
      <c r="D361"/>
      <c r="E361"/>
      <c r="F361"/>
      <c r="G361" s="20"/>
    </row>
    <row r="362" spans="3:7" x14ac:dyDescent="0.3">
      <c r="C362"/>
      <c r="D362"/>
      <c r="E362"/>
      <c r="F362"/>
      <c r="G362" s="20"/>
    </row>
    <row r="363" spans="3:7" x14ac:dyDescent="0.3">
      <c r="C363"/>
      <c r="D363"/>
      <c r="E363"/>
      <c r="F363"/>
      <c r="G363" s="20"/>
    </row>
    <row r="364" spans="3:7" x14ac:dyDescent="0.3">
      <c r="C364"/>
      <c r="D364"/>
      <c r="E364"/>
      <c r="F364"/>
      <c r="G364" s="20"/>
    </row>
    <row r="365" spans="3:7" x14ac:dyDescent="0.3">
      <c r="C365"/>
      <c r="D365"/>
      <c r="E365"/>
      <c r="F365"/>
      <c r="G365" s="20"/>
    </row>
    <row r="366" spans="3:7" x14ac:dyDescent="0.3">
      <c r="C366"/>
      <c r="D366"/>
      <c r="E366"/>
      <c r="F366"/>
      <c r="G366" s="20"/>
    </row>
    <row r="367" spans="3:7" x14ac:dyDescent="0.3">
      <c r="C367"/>
      <c r="D367"/>
      <c r="E367"/>
      <c r="F367"/>
      <c r="G367" s="20"/>
    </row>
    <row r="368" spans="3:7" x14ac:dyDescent="0.3">
      <c r="C368"/>
      <c r="D368"/>
      <c r="E368"/>
      <c r="F368"/>
      <c r="G368" s="20"/>
    </row>
    <row r="369" spans="3:7" x14ac:dyDescent="0.3">
      <c r="C369"/>
      <c r="D369"/>
      <c r="E369"/>
      <c r="F369"/>
      <c r="G369" s="20"/>
    </row>
    <row r="370" spans="3:7" x14ac:dyDescent="0.3">
      <c r="C370"/>
      <c r="D370"/>
      <c r="E370"/>
      <c r="F370"/>
      <c r="G370" s="20"/>
    </row>
    <row r="371" spans="3:7" x14ac:dyDescent="0.3">
      <c r="C371"/>
      <c r="D371"/>
      <c r="E371"/>
      <c r="F371"/>
      <c r="G371" s="20"/>
    </row>
    <row r="372" spans="3:7" x14ac:dyDescent="0.3">
      <c r="C372"/>
      <c r="D372"/>
      <c r="E372"/>
      <c r="F372"/>
      <c r="G372" s="20"/>
    </row>
    <row r="373" spans="3:7" x14ac:dyDescent="0.3">
      <c r="C373"/>
      <c r="D373"/>
      <c r="E373"/>
      <c r="F373"/>
      <c r="G373" s="20"/>
    </row>
    <row r="374" spans="3:7" x14ac:dyDescent="0.3">
      <c r="C374"/>
      <c r="D374"/>
      <c r="E374"/>
      <c r="F374"/>
      <c r="G374" s="20"/>
    </row>
    <row r="375" spans="3:7" x14ac:dyDescent="0.3">
      <c r="C375"/>
      <c r="D375"/>
      <c r="E375"/>
      <c r="F375"/>
      <c r="G375" s="20"/>
    </row>
    <row r="376" spans="3:7" x14ac:dyDescent="0.3">
      <c r="C376"/>
      <c r="D376"/>
      <c r="E376"/>
      <c r="F376"/>
      <c r="G376" s="20"/>
    </row>
    <row r="377" spans="3:7" x14ac:dyDescent="0.3">
      <c r="C377"/>
      <c r="D377"/>
      <c r="E377"/>
      <c r="F377"/>
      <c r="G377" s="20"/>
    </row>
    <row r="378" spans="3:7" x14ac:dyDescent="0.3">
      <c r="C378"/>
      <c r="D378"/>
      <c r="E378"/>
      <c r="F378"/>
      <c r="G378" s="20"/>
    </row>
    <row r="379" spans="3:7" x14ac:dyDescent="0.3">
      <c r="C379"/>
      <c r="D379"/>
      <c r="E379"/>
      <c r="F379"/>
      <c r="G379" s="20"/>
    </row>
    <row r="380" spans="3:7" x14ac:dyDescent="0.3">
      <c r="C380"/>
      <c r="D380"/>
      <c r="E380"/>
      <c r="F380"/>
      <c r="G380" s="20"/>
    </row>
    <row r="381" spans="3:7" x14ac:dyDescent="0.3">
      <c r="C381"/>
      <c r="D381"/>
      <c r="E381"/>
      <c r="F381"/>
      <c r="G381" s="20"/>
    </row>
    <row r="382" spans="3:7" x14ac:dyDescent="0.3">
      <c r="C382"/>
      <c r="D382"/>
      <c r="E382"/>
      <c r="F382"/>
      <c r="G382" s="20"/>
    </row>
    <row r="383" spans="3:7" x14ac:dyDescent="0.3">
      <c r="C383"/>
      <c r="D383"/>
      <c r="E383"/>
      <c r="F383"/>
      <c r="G383" s="20"/>
    </row>
    <row r="384" spans="3:7" x14ac:dyDescent="0.3">
      <c r="C384"/>
      <c r="D384"/>
      <c r="E384"/>
      <c r="F384"/>
      <c r="G384" s="20"/>
    </row>
    <row r="385" spans="3:7" x14ac:dyDescent="0.3">
      <c r="C385"/>
      <c r="D385"/>
      <c r="E385"/>
      <c r="F385"/>
      <c r="G385" s="20"/>
    </row>
    <row r="386" spans="3:7" x14ac:dyDescent="0.3">
      <c r="C386"/>
      <c r="D386"/>
      <c r="E386"/>
      <c r="F386"/>
      <c r="G386" s="20"/>
    </row>
    <row r="387" spans="3:7" x14ac:dyDescent="0.3">
      <c r="C387"/>
      <c r="D387"/>
      <c r="E387"/>
      <c r="F387"/>
      <c r="G387" s="20"/>
    </row>
    <row r="388" spans="3:7" x14ac:dyDescent="0.3">
      <c r="C388"/>
      <c r="D388"/>
      <c r="E388"/>
      <c r="F388"/>
      <c r="G388" s="20"/>
    </row>
    <row r="389" spans="3:7" x14ac:dyDescent="0.3">
      <c r="C389"/>
      <c r="D389"/>
      <c r="E389"/>
      <c r="F389"/>
      <c r="G389" s="20"/>
    </row>
    <row r="390" spans="3:7" x14ac:dyDescent="0.3">
      <c r="C390"/>
      <c r="D390"/>
      <c r="E390"/>
      <c r="F390"/>
      <c r="G390" s="20"/>
    </row>
    <row r="391" spans="3:7" x14ac:dyDescent="0.3">
      <c r="C391"/>
      <c r="D391"/>
      <c r="E391"/>
      <c r="F391"/>
      <c r="G391" s="20"/>
    </row>
    <row r="392" spans="3:7" x14ac:dyDescent="0.3">
      <c r="C392"/>
      <c r="D392"/>
      <c r="E392"/>
      <c r="F392"/>
      <c r="G392" s="20"/>
    </row>
    <row r="393" spans="3:7" x14ac:dyDescent="0.3">
      <c r="C393"/>
      <c r="D393"/>
      <c r="E393"/>
      <c r="F393"/>
      <c r="G393" s="20"/>
    </row>
    <row r="394" spans="3:7" x14ac:dyDescent="0.3">
      <c r="C394"/>
      <c r="D394"/>
      <c r="E394"/>
      <c r="F394"/>
      <c r="G394" s="20"/>
    </row>
    <row r="395" spans="3:7" x14ac:dyDescent="0.3">
      <c r="C395"/>
      <c r="D395"/>
      <c r="E395"/>
      <c r="F395"/>
      <c r="G395" s="20"/>
    </row>
    <row r="396" spans="3:7" x14ac:dyDescent="0.3">
      <c r="C396"/>
      <c r="D396"/>
      <c r="E396"/>
      <c r="F396"/>
      <c r="G396" s="20"/>
    </row>
    <row r="397" spans="3:7" x14ac:dyDescent="0.3">
      <c r="C397"/>
      <c r="D397"/>
      <c r="E397"/>
      <c r="F397"/>
      <c r="G397" s="20"/>
    </row>
    <row r="398" spans="3:7" x14ac:dyDescent="0.3">
      <c r="C398"/>
      <c r="D398"/>
      <c r="E398"/>
      <c r="F398"/>
      <c r="G398" s="20"/>
    </row>
    <row r="399" spans="3:7" x14ac:dyDescent="0.3">
      <c r="C399"/>
      <c r="D399"/>
      <c r="E399"/>
      <c r="F399"/>
      <c r="G399" s="20"/>
    </row>
    <row r="400" spans="3:7" x14ac:dyDescent="0.3">
      <c r="C400"/>
      <c r="D400"/>
      <c r="E400"/>
      <c r="F400"/>
      <c r="G400" s="20"/>
    </row>
    <row r="401" spans="3:7" x14ac:dyDescent="0.3">
      <c r="C401"/>
      <c r="D401"/>
      <c r="E401"/>
      <c r="F401"/>
      <c r="G401" s="20"/>
    </row>
    <row r="402" spans="3:7" x14ac:dyDescent="0.3">
      <c r="C402"/>
      <c r="D402"/>
      <c r="E402"/>
      <c r="F402"/>
      <c r="G402" s="20"/>
    </row>
    <row r="403" spans="3:7" x14ac:dyDescent="0.3">
      <c r="C403"/>
      <c r="D403"/>
      <c r="E403"/>
      <c r="F403"/>
      <c r="G403" s="20"/>
    </row>
    <row r="404" spans="3:7" x14ac:dyDescent="0.3">
      <c r="C404"/>
      <c r="D404"/>
      <c r="E404"/>
      <c r="F404"/>
      <c r="G404" s="20"/>
    </row>
    <row r="405" spans="3:7" x14ac:dyDescent="0.3">
      <c r="C405"/>
      <c r="D405"/>
      <c r="E405"/>
      <c r="F405"/>
      <c r="G405" s="20"/>
    </row>
    <row r="406" spans="3:7" x14ac:dyDescent="0.3">
      <c r="C406"/>
      <c r="D406"/>
      <c r="E406"/>
      <c r="F406"/>
      <c r="G406" s="20"/>
    </row>
    <row r="407" spans="3:7" x14ac:dyDescent="0.3">
      <c r="C407"/>
      <c r="D407"/>
      <c r="E407"/>
      <c r="F407"/>
      <c r="G407" s="20"/>
    </row>
    <row r="408" spans="3:7" x14ac:dyDescent="0.3">
      <c r="C408"/>
      <c r="D408"/>
      <c r="E408"/>
      <c r="F408"/>
      <c r="G408" s="20"/>
    </row>
    <row r="409" spans="3:7" x14ac:dyDescent="0.3">
      <c r="C409"/>
      <c r="D409"/>
      <c r="E409"/>
      <c r="F409"/>
      <c r="G409" s="20"/>
    </row>
    <row r="410" spans="3:7" x14ac:dyDescent="0.3">
      <c r="C410"/>
      <c r="D410"/>
      <c r="E410"/>
      <c r="F410"/>
      <c r="G410" s="20"/>
    </row>
    <row r="411" spans="3:7" x14ac:dyDescent="0.3">
      <c r="C411"/>
      <c r="D411"/>
      <c r="E411"/>
      <c r="F411"/>
      <c r="G411" s="20"/>
    </row>
    <row r="412" spans="3:7" x14ac:dyDescent="0.3">
      <c r="C412"/>
      <c r="D412"/>
      <c r="E412"/>
      <c r="F412"/>
      <c r="G412" s="20"/>
    </row>
    <row r="413" spans="3:7" x14ac:dyDescent="0.3">
      <c r="C413"/>
      <c r="D413"/>
      <c r="E413"/>
      <c r="F413"/>
      <c r="G413" s="20"/>
    </row>
    <row r="414" spans="3:7" x14ac:dyDescent="0.3">
      <c r="C414"/>
      <c r="D414"/>
      <c r="E414"/>
      <c r="F414"/>
      <c r="G414" s="20"/>
    </row>
    <row r="415" spans="3:7" x14ac:dyDescent="0.3">
      <c r="C415"/>
      <c r="D415"/>
      <c r="E415"/>
      <c r="F415"/>
      <c r="G415" s="20"/>
    </row>
    <row r="416" spans="3:7" x14ac:dyDescent="0.3">
      <c r="C416"/>
      <c r="D416"/>
      <c r="E416"/>
      <c r="F416"/>
      <c r="G416" s="20"/>
    </row>
    <row r="417" spans="3:7" x14ac:dyDescent="0.3">
      <c r="C417"/>
      <c r="D417"/>
      <c r="E417"/>
      <c r="F417"/>
      <c r="G417" s="20"/>
    </row>
    <row r="418" spans="3:7" x14ac:dyDescent="0.3">
      <c r="C418"/>
      <c r="D418"/>
      <c r="E418"/>
      <c r="F418"/>
      <c r="G418" s="20"/>
    </row>
    <row r="419" spans="3:7" x14ac:dyDescent="0.3">
      <c r="C419"/>
      <c r="D419"/>
      <c r="E419"/>
      <c r="F419"/>
      <c r="G419" s="20"/>
    </row>
    <row r="420" spans="3:7" x14ac:dyDescent="0.3">
      <c r="C420"/>
      <c r="D420"/>
      <c r="E420"/>
      <c r="F420"/>
      <c r="G420" s="20"/>
    </row>
    <row r="421" spans="3:7" x14ac:dyDescent="0.3">
      <c r="C421"/>
      <c r="D421"/>
      <c r="E421"/>
      <c r="F421"/>
      <c r="G421" s="20"/>
    </row>
    <row r="422" spans="3:7" x14ac:dyDescent="0.3">
      <c r="C422"/>
      <c r="D422"/>
      <c r="E422"/>
      <c r="F422"/>
      <c r="G422" s="20"/>
    </row>
    <row r="423" spans="3:7" x14ac:dyDescent="0.3">
      <c r="C423"/>
      <c r="D423"/>
      <c r="E423"/>
      <c r="F423"/>
      <c r="G423" s="20"/>
    </row>
    <row r="424" spans="3:7" x14ac:dyDescent="0.3">
      <c r="C424"/>
      <c r="D424"/>
      <c r="E424"/>
      <c r="F424"/>
      <c r="G424" s="20"/>
    </row>
    <row r="425" spans="3:7" x14ac:dyDescent="0.3">
      <c r="C425"/>
      <c r="D425"/>
      <c r="E425"/>
      <c r="F425"/>
      <c r="G425" s="20"/>
    </row>
    <row r="426" spans="3:7" x14ac:dyDescent="0.3">
      <c r="C426"/>
      <c r="D426"/>
      <c r="E426"/>
      <c r="F426"/>
      <c r="G426" s="20"/>
    </row>
    <row r="427" spans="3:7" x14ac:dyDescent="0.3">
      <c r="C427"/>
      <c r="D427"/>
      <c r="E427"/>
      <c r="F427"/>
      <c r="G427" s="20"/>
    </row>
    <row r="428" spans="3:7" x14ac:dyDescent="0.3">
      <c r="C428"/>
      <c r="D428"/>
      <c r="E428"/>
      <c r="F428"/>
      <c r="G428" s="20"/>
    </row>
    <row r="429" spans="3:7" x14ac:dyDescent="0.3">
      <c r="C429"/>
      <c r="D429"/>
      <c r="E429"/>
      <c r="F429"/>
      <c r="G429" s="20"/>
    </row>
    <row r="430" spans="3:7" x14ac:dyDescent="0.3">
      <c r="C430"/>
      <c r="D430"/>
      <c r="E430"/>
      <c r="F430"/>
      <c r="G430" s="20"/>
    </row>
    <row r="431" spans="3:7" x14ac:dyDescent="0.3">
      <c r="C431"/>
      <c r="D431"/>
      <c r="E431"/>
      <c r="F431"/>
      <c r="G431" s="20"/>
    </row>
    <row r="432" spans="3:7" x14ac:dyDescent="0.3">
      <c r="C432"/>
      <c r="D432"/>
      <c r="E432"/>
      <c r="F432"/>
      <c r="G432" s="20"/>
    </row>
    <row r="433" spans="3:7" x14ac:dyDescent="0.3">
      <c r="C433"/>
      <c r="D433"/>
      <c r="E433"/>
      <c r="F433"/>
      <c r="G433" s="20"/>
    </row>
    <row r="434" spans="3:7" x14ac:dyDescent="0.3">
      <c r="C434"/>
      <c r="D434"/>
      <c r="E434"/>
      <c r="F434"/>
      <c r="G434" s="20"/>
    </row>
    <row r="435" spans="3:7" x14ac:dyDescent="0.3">
      <c r="C435"/>
      <c r="D435"/>
      <c r="E435"/>
      <c r="F435"/>
      <c r="G435" s="20"/>
    </row>
    <row r="436" spans="3:7" x14ac:dyDescent="0.3">
      <c r="C436"/>
      <c r="D436"/>
      <c r="E436"/>
      <c r="F436"/>
      <c r="G436" s="20"/>
    </row>
    <row r="437" spans="3:7" x14ac:dyDescent="0.3">
      <c r="C437"/>
      <c r="D437"/>
      <c r="E437"/>
      <c r="F437"/>
      <c r="G437" s="20"/>
    </row>
    <row r="438" spans="3:7" x14ac:dyDescent="0.3">
      <c r="C438"/>
      <c r="D438"/>
      <c r="E438"/>
      <c r="F438"/>
      <c r="G438" s="20"/>
    </row>
    <row r="439" spans="3:7" x14ac:dyDescent="0.3">
      <c r="C439"/>
      <c r="D439"/>
      <c r="E439"/>
      <c r="F439"/>
      <c r="G439" s="20"/>
    </row>
    <row r="440" spans="3:7" x14ac:dyDescent="0.3">
      <c r="C440"/>
      <c r="D440"/>
      <c r="E440"/>
      <c r="F440"/>
      <c r="G440" s="20"/>
    </row>
    <row r="441" spans="3:7" x14ac:dyDescent="0.3">
      <c r="C441"/>
      <c r="D441"/>
      <c r="E441"/>
      <c r="F441"/>
      <c r="G441" s="20"/>
    </row>
    <row r="442" spans="3:7" x14ac:dyDescent="0.3">
      <c r="C442"/>
      <c r="D442"/>
      <c r="E442"/>
      <c r="F442"/>
      <c r="G442" s="20"/>
    </row>
    <row r="443" spans="3:7" x14ac:dyDescent="0.3">
      <c r="C443"/>
      <c r="D443"/>
      <c r="E443"/>
      <c r="F443"/>
      <c r="G443" s="20"/>
    </row>
    <row r="444" spans="3:7" x14ac:dyDescent="0.3">
      <c r="C444"/>
      <c r="D444"/>
      <c r="E444"/>
      <c r="F444"/>
      <c r="G444" s="20"/>
    </row>
    <row r="445" spans="3:7" x14ac:dyDescent="0.3">
      <c r="C445"/>
      <c r="D445"/>
      <c r="E445"/>
      <c r="F445"/>
      <c r="G445" s="20"/>
    </row>
    <row r="446" spans="3:7" x14ac:dyDescent="0.3">
      <c r="C446"/>
      <c r="D446"/>
      <c r="E446"/>
      <c r="F446"/>
      <c r="G446" s="20"/>
    </row>
    <row r="447" spans="3:7" x14ac:dyDescent="0.3">
      <c r="C447"/>
      <c r="D447"/>
      <c r="E447"/>
      <c r="F447"/>
      <c r="G447" s="20"/>
    </row>
    <row r="448" spans="3:7" x14ac:dyDescent="0.3">
      <c r="C448"/>
      <c r="D448"/>
      <c r="E448"/>
      <c r="F448"/>
      <c r="G448" s="20"/>
    </row>
    <row r="449" spans="3:7" x14ac:dyDescent="0.3">
      <c r="C449"/>
      <c r="D449"/>
      <c r="E449"/>
      <c r="F449"/>
      <c r="G449" s="20"/>
    </row>
    <row r="450" spans="3:7" x14ac:dyDescent="0.3">
      <c r="C450"/>
      <c r="D450"/>
      <c r="E450"/>
      <c r="F450"/>
      <c r="G450" s="20"/>
    </row>
    <row r="451" spans="3:7" x14ac:dyDescent="0.3">
      <c r="C451"/>
      <c r="D451"/>
      <c r="E451"/>
      <c r="F451"/>
      <c r="G451" s="20"/>
    </row>
    <row r="452" spans="3:7" x14ac:dyDescent="0.3">
      <c r="C452"/>
      <c r="D452"/>
      <c r="E452"/>
      <c r="F452"/>
      <c r="G452" s="20"/>
    </row>
    <row r="453" spans="3:7" x14ac:dyDescent="0.3">
      <c r="C453"/>
      <c r="D453"/>
      <c r="E453"/>
      <c r="F453"/>
      <c r="G453" s="20"/>
    </row>
    <row r="454" spans="3:7" x14ac:dyDescent="0.3">
      <c r="C454"/>
      <c r="D454"/>
      <c r="E454"/>
      <c r="F454"/>
      <c r="G454" s="20"/>
    </row>
    <row r="455" spans="3:7" x14ac:dyDescent="0.3">
      <c r="C455"/>
      <c r="D455"/>
      <c r="E455"/>
      <c r="F455"/>
      <c r="G455" s="20"/>
    </row>
    <row r="456" spans="3:7" x14ac:dyDescent="0.3">
      <c r="C456"/>
      <c r="D456"/>
      <c r="E456"/>
      <c r="F456"/>
      <c r="G456" s="20"/>
    </row>
    <row r="457" spans="3:7" x14ac:dyDescent="0.3">
      <c r="C457"/>
      <c r="D457"/>
      <c r="E457"/>
      <c r="F457"/>
      <c r="G457" s="20"/>
    </row>
    <row r="458" spans="3:7" x14ac:dyDescent="0.3">
      <c r="C458"/>
      <c r="D458"/>
      <c r="E458"/>
      <c r="F458"/>
      <c r="G458" s="20"/>
    </row>
    <row r="459" spans="3:7" x14ac:dyDescent="0.3">
      <c r="C459"/>
      <c r="D459"/>
      <c r="E459"/>
      <c r="F459"/>
      <c r="G459" s="20"/>
    </row>
    <row r="460" spans="3:7" x14ac:dyDescent="0.3">
      <c r="C460"/>
      <c r="D460"/>
      <c r="E460"/>
      <c r="F460"/>
      <c r="G460" s="20"/>
    </row>
    <row r="461" spans="3:7" x14ac:dyDescent="0.3">
      <c r="C461"/>
      <c r="D461"/>
      <c r="E461"/>
      <c r="F461"/>
      <c r="G461" s="20"/>
    </row>
    <row r="462" spans="3:7" x14ac:dyDescent="0.3">
      <c r="C462"/>
      <c r="D462"/>
      <c r="E462"/>
      <c r="F462"/>
      <c r="G462" s="20"/>
    </row>
    <row r="463" spans="3:7" x14ac:dyDescent="0.3">
      <c r="C463"/>
      <c r="D463"/>
      <c r="E463"/>
      <c r="F463"/>
      <c r="G463" s="20"/>
    </row>
    <row r="464" spans="3:7" x14ac:dyDescent="0.3">
      <c r="C464"/>
      <c r="D464"/>
      <c r="E464"/>
      <c r="F464"/>
      <c r="G464" s="20"/>
    </row>
    <row r="465" spans="3:7" x14ac:dyDescent="0.3">
      <c r="C465"/>
      <c r="D465"/>
      <c r="E465"/>
      <c r="F465"/>
      <c r="G465" s="20"/>
    </row>
    <row r="466" spans="3:7" x14ac:dyDescent="0.3">
      <c r="C466"/>
      <c r="D466"/>
      <c r="E466"/>
      <c r="F466"/>
      <c r="G466" s="20"/>
    </row>
    <row r="467" spans="3:7" x14ac:dyDescent="0.3">
      <c r="C467"/>
      <c r="D467"/>
      <c r="E467"/>
      <c r="F467"/>
      <c r="G467" s="20"/>
    </row>
    <row r="468" spans="3:7" x14ac:dyDescent="0.3">
      <c r="C468"/>
      <c r="D468"/>
      <c r="E468"/>
      <c r="F468"/>
      <c r="G468" s="20"/>
    </row>
    <row r="469" spans="3:7" x14ac:dyDescent="0.3">
      <c r="C469"/>
      <c r="D469"/>
      <c r="E469"/>
      <c r="F469"/>
      <c r="G469" s="20"/>
    </row>
    <row r="470" spans="3:7" x14ac:dyDescent="0.3">
      <c r="C470"/>
      <c r="D470"/>
      <c r="E470"/>
      <c r="F470"/>
      <c r="G470" s="20"/>
    </row>
    <row r="471" spans="3:7" x14ac:dyDescent="0.3">
      <c r="C471"/>
      <c r="D471"/>
      <c r="E471"/>
      <c r="F471"/>
      <c r="G471" s="20"/>
    </row>
    <row r="472" spans="3:7" x14ac:dyDescent="0.3">
      <c r="C472"/>
      <c r="D472"/>
      <c r="E472"/>
      <c r="F472"/>
      <c r="G472" s="20"/>
    </row>
    <row r="473" spans="3:7" x14ac:dyDescent="0.3">
      <c r="C473"/>
      <c r="D473"/>
      <c r="E473"/>
      <c r="F473"/>
      <c r="G473" s="20"/>
    </row>
    <row r="474" spans="3:7" x14ac:dyDescent="0.3">
      <c r="C474"/>
      <c r="D474"/>
      <c r="E474"/>
      <c r="F474"/>
      <c r="G474" s="20"/>
    </row>
    <row r="475" spans="3:7" x14ac:dyDescent="0.3">
      <c r="C475"/>
      <c r="D475"/>
      <c r="E475"/>
      <c r="F475"/>
      <c r="G475" s="20"/>
    </row>
    <row r="476" spans="3:7" x14ac:dyDescent="0.3">
      <c r="C476"/>
      <c r="D476"/>
      <c r="E476"/>
      <c r="F476"/>
      <c r="G476" s="20"/>
    </row>
    <row r="477" spans="3:7" x14ac:dyDescent="0.3">
      <c r="C477"/>
      <c r="D477"/>
      <c r="E477"/>
      <c r="F477"/>
      <c r="G477" s="20"/>
    </row>
    <row r="478" spans="3:7" x14ac:dyDescent="0.3">
      <c r="C478"/>
      <c r="D478"/>
      <c r="E478"/>
      <c r="F478"/>
      <c r="G478" s="20"/>
    </row>
    <row r="479" spans="3:7" x14ac:dyDescent="0.3">
      <c r="C479"/>
      <c r="D479"/>
      <c r="E479"/>
      <c r="F479"/>
      <c r="G479" s="20"/>
    </row>
    <row r="480" spans="3:7" x14ac:dyDescent="0.3">
      <c r="C480"/>
      <c r="D480"/>
      <c r="E480"/>
      <c r="F480"/>
      <c r="G480" s="20"/>
    </row>
    <row r="481" spans="3:7" x14ac:dyDescent="0.3">
      <c r="C481"/>
      <c r="D481"/>
      <c r="E481"/>
      <c r="F481"/>
      <c r="G481" s="20"/>
    </row>
    <row r="482" spans="3:7" x14ac:dyDescent="0.3">
      <c r="C482"/>
      <c r="D482"/>
      <c r="E482"/>
      <c r="F482"/>
      <c r="G482" s="20"/>
    </row>
    <row r="483" spans="3:7" x14ac:dyDescent="0.3">
      <c r="C483"/>
      <c r="D483"/>
      <c r="E483"/>
      <c r="F483"/>
      <c r="G483" s="20"/>
    </row>
    <row r="484" spans="3:7" x14ac:dyDescent="0.3">
      <c r="C484"/>
      <c r="D484"/>
      <c r="E484"/>
      <c r="F484"/>
      <c r="G484" s="20"/>
    </row>
    <row r="485" spans="3:7" x14ac:dyDescent="0.3">
      <c r="C485"/>
      <c r="D485"/>
      <c r="E485"/>
      <c r="F485"/>
      <c r="G485" s="20"/>
    </row>
    <row r="486" spans="3:7" x14ac:dyDescent="0.3">
      <c r="C486"/>
      <c r="D486"/>
      <c r="E486"/>
      <c r="F486"/>
      <c r="G486" s="20"/>
    </row>
    <row r="487" spans="3:7" x14ac:dyDescent="0.3">
      <c r="C487"/>
      <c r="D487"/>
      <c r="E487"/>
      <c r="F487"/>
      <c r="G487" s="20"/>
    </row>
    <row r="488" spans="3:7" x14ac:dyDescent="0.3">
      <c r="C488"/>
      <c r="D488"/>
      <c r="E488"/>
      <c r="F488"/>
      <c r="G488" s="20"/>
    </row>
    <row r="489" spans="3:7" x14ac:dyDescent="0.3">
      <c r="C489"/>
      <c r="D489"/>
      <c r="E489"/>
      <c r="F489"/>
      <c r="G489" s="20"/>
    </row>
    <row r="490" spans="3:7" x14ac:dyDescent="0.3">
      <c r="C490"/>
      <c r="D490"/>
      <c r="E490"/>
      <c r="F490"/>
      <c r="G490" s="20"/>
    </row>
    <row r="491" spans="3:7" x14ac:dyDescent="0.3">
      <c r="C491"/>
      <c r="D491"/>
      <c r="E491"/>
      <c r="F491"/>
      <c r="G491" s="20"/>
    </row>
    <row r="492" spans="3:7" x14ac:dyDescent="0.3">
      <c r="C492"/>
      <c r="D492"/>
      <c r="E492"/>
      <c r="F492"/>
      <c r="G492" s="20"/>
    </row>
    <row r="493" spans="3:7" x14ac:dyDescent="0.3">
      <c r="C493"/>
      <c r="D493"/>
      <c r="E493"/>
      <c r="F493"/>
      <c r="G493" s="20"/>
    </row>
    <row r="494" spans="3:7" x14ac:dyDescent="0.3">
      <c r="C494"/>
      <c r="D494"/>
      <c r="E494"/>
      <c r="F494"/>
      <c r="G494" s="20"/>
    </row>
    <row r="495" spans="3:7" x14ac:dyDescent="0.3">
      <c r="C495"/>
      <c r="D495"/>
      <c r="E495"/>
      <c r="F495"/>
      <c r="G495" s="20"/>
    </row>
    <row r="496" spans="3:7" x14ac:dyDescent="0.3">
      <c r="C496"/>
      <c r="D496"/>
      <c r="E496"/>
      <c r="F496"/>
      <c r="G496" s="20"/>
    </row>
    <row r="497" spans="3:7" x14ac:dyDescent="0.3">
      <c r="C497"/>
      <c r="D497"/>
      <c r="E497"/>
      <c r="F497"/>
      <c r="G497" s="20"/>
    </row>
    <row r="498" spans="3:7" x14ac:dyDescent="0.3">
      <c r="C498"/>
      <c r="D498"/>
      <c r="E498"/>
      <c r="F498"/>
      <c r="G498" s="20"/>
    </row>
    <row r="499" spans="3:7" x14ac:dyDescent="0.3">
      <c r="C499"/>
      <c r="D499"/>
      <c r="E499"/>
      <c r="F499"/>
      <c r="G499" s="20"/>
    </row>
    <row r="500" spans="3:7" x14ac:dyDescent="0.3">
      <c r="C500"/>
      <c r="D500"/>
      <c r="E500"/>
      <c r="F500"/>
      <c r="G500" s="20"/>
    </row>
    <row r="501" spans="3:7" x14ac:dyDescent="0.3">
      <c r="C501"/>
      <c r="D501"/>
      <c r="E501"/>
      <c r="F501"/>
      <c r="G501" s="20"/>
    </row>
    <row r="502" spans="3:7" x14ac:dyDescent="0.3">
      <c r="C502"/>
      <c r="D502"/>
      <c r="E502"/>
      <c r="F502"/>
      <c r="G502" s="20"/>
    </row>
    <row r="503" spans="3:7" x14ac:dyDescent="0.3">
      <c r="C503"/>
      <c r="D503"/>
      <c r="E503"/>
      <c r="F503"/>
      <c r="G503" s="20"/>
    </row>
    <row r="504" spans="3:7" x14ac:dyDescent="0.3">
      <c r="C504"/>
      <c r="D504"/>
      <c r="E504"/>
      <c r="F504"/>
      <c r="G504" s="20"/>
    </row>
    <row r="505" spans="3:7" x14ac:dyDescent="0.3">
      <c r="C505"/>
      <c r="D505"/>
      <c r="E505"/>
      <c r="F505"/>
      <c r="G505" s="20"/>
    </row>
    <row r="506" spans="3:7" x14ac:dyDescent="0.3">
      <c r="C506"/>
      <c r="D506"/>
      <c r="E506"/>
      <c r="F506"/>
      <c r="G506" s="20"/>
    </row>
    <row r="507" spans="3:7" x14ac:dyDescent="0.3">
      <c r="C507"/>
      <c r="D507"/>
      <c r="E507"/>
      <c r="F507"/>
      <c r="G507" s="20"/>
    </row>
    <row r="508" spans="3:7" x14ac:dyDescent="0.3">
      <c r="C508"/>
      <c r="D508"/>
      <c r="E508"/>
      <c r="F508"/>
      <c r="G508" s="20"/>
    </row>
    <row r="509" spans="3:7" x14ac:dyDescent="0.3">
      <c r="C509"/>
      <c r="D509"/>
      <c r="E509"/>
      <c r="F509"/>
      <c r="G509" s="20"/>
    </row>
    <row r="510" spans="3:7" x14ac:dyDescent="0.3">
      <c r="C510"/>
      <c r="D510"/>
      <c r="E510"/>
      <c r="F510"/>
      <c r="G510" s="20"/>
    </row>
    <row r="511" spans="3:7" x14ac:dyDescent="0.3">
      <c r="C511"/>
      <c r="D511"/>
      <c r="E511"/>
      <c r="F511"/>
      <c r="G511" s="20"/>
    </row>
    <row r="512" spans="3:7" x14ac:dyDescent="0.3">
      <c r="C512"/>
      <c r="D512"/>
      <c r="E512"/>
      <c r="F512"/>
      <c r="G512" s="20"/>
    </row>
    <row r="513" spans="3:7" x14ac:dyDescent="0.3">
      <c r="C513"/>
      <c r="D513"/>
      <c r="E513"/>
      <c r="F513"/>
      <c r="G513" s="20"/>
    </row>
    <row r="514" spans="3:7" x14ac:dyDescent="0.3">
      <c r="C514"/>
      <c r="D514"/>
      <c r="E514"/>
      <c r="F514"/>
      <c r="G514" s="20"/>
    </row>
    <row r="515" spans="3:7" x14ac:dyDescent="0.3">
      <c r="C515"/>
      <c r="D515"/>
      <c r="E515"/>
      <c r="F515"/>
      <c r="G515" s="20"/>
    </row>
    <row r="516" spans="3:7" x14ac:dyDescent="0.3">
      <c r="C516"/>
      <c r="D516"/>
      <c r="E516"/>
      <c r="F516"/>
      <c r="G516" s="20"/>
    </row>
    <row r="517" spans="3:7" x14ac:dyDescent="0.3">
      <c r="C517"/>
      <c r="D517"/>
      <c r="E517"/>
      <c r="F517"/>
      <c r="G517" s="20"/>
    </row>
    <row r="518" spans="3:7" x14ac:dyDescent="0.3">
      <c r="C518"/>
      <c r="D518"/>
      <c r="E518"/>
      <c r="F518"/>
      <c r="G518" s="20"/>
    </row>
    <row r="519" spans="3:7" x14ac:dyDescent="0.3">
      <c r="C519"/>
      <c r="D519"/>
      <c r="E519"/>
      <c r="F519"/>
      <c r="G519" s="20"/>
    </row>
    <row r="520" spans="3:7" x14ac:dyDescent="0.3">
      <c r="C520"/>
      <c r="D520"/>
      <c r="E520"/>
      <c r="F520"/>
      <c r="G520" s="20"/>
    </row>
    <row r="521" spans="3:7" x14ac:dyDescent="0.3">
      <c r="C521"/>
      <c r="D521"/>
      <c r="E521"/>
      <c r="F521"/>
      <c r="G521" s="20"/>
    </row>
    <row r="522" spans="3:7" x14ac:dyDescent="0.3">
      <c r="C522"/>
      <c r="D522"/>
      <c r="E522"/>
      <c r="F522"/>
      <c r="G522" s="20"/>
    </row>
    <row r="523" spans="3:7" x14ac:dyDescent="0.3">
      <c r="C523"/>
      <c r="D523"/>
      <c r="E523"/>
      <c r="F523"/>
      <c r="G523" s="20"/>
    </row>
    <row r="524" spans="3:7" x14ac:dyDescent="0.3">
      <c r="C524"/>
      <c r="D524"/>
      <c r="E524"/>
      <c r="F524"/>
      <c r="G524" s="20"/>
    </row>
    <row r="525" spans="3:7" x14ac:dyDescent="0.3">
      <c r="C525"/>
      <c r="D525"/>
      <c r="E525"/>
      <c r="F525"/>
      <c r="G525" s="20"/>
    </row>
    <row r="526" spans="3:7" x14ac:dyDescent="0.3">
      <c r="C526"/>
      <c r="D526"/>
      <c r="E526"/>
      <c r="F526"/>
      <c r="G526" s="20"/>
    </row>
    <row r="527" spans="3:7" x14ac:dyDescent="0.3">
      <c r="C527"/>
      <c r="D527"/>
      <c r="E527"/>
      <c r="F527"/>
      <c r="G527" s="20"/>
    </row>
    <row r="528" spans="3:7" x14ac:dyDescent="0.3">
      <c r="C528"/>
      <c r="D528"/>
      <c r="E528"/>
      <c r="F528"/>
      <c r="G528" s="20"/>
    </row>
    <row r="529" spans="3:7" x14ac:dyDescent="0.3">
      <c r="C529"/>
      <c r="D529"/>
      <c r="E529"/>
      <c r="F529"/>
      <c r="G529" s="20"/>
    </row>
    <row r="530" spans="3:7" x14ac:dyDescent="0.3">
      <c r="C530"/>
      <c r="D530"/>
      <c r="E530"/>
      <c r="F530"/>
      <c r="G530" s="20"/>
    </row>
    <row r="531" spans="3:7" x14ac:dyDescent="0.3">
      <c r="C531"/>
      <c r="D531"/>
      <c r="E531"/>
      <c r="F531"/>
      <c r="G531" s="20"/>
    </row>
    <row r="532" spans="3:7" x14ac:dyDescent="0.3">
      <c r="C532"/>
      <c r="D532"/>
      <c r="E532"/>
      <c r="F532"/>
      <c r="G532" s="20"/>
    </row>
    <row r="533" spans="3:7" x14ac:dyDescent="0.3">
      <c r="C533"/>
      <c r="D533"/>
      <c r="E533"/>
      <c r="F533"/>
      <c r="G533" s="20"/>
    </row>
    <row r="534" spans="3:7" x14ac:dyDescent="0.3">
      <c r="C534"/>
      <c r="D534"/>
      <c r="E534"/>
      <c r="F534"/>
      <c r="G534" s="20"/>
    </row>
    <row r="535" spans="3:7" x14ac:dyDescent="0.3">
      <c r="C535"/>
      <c r="D535"/>
      <c r="E535"/>
      <c r="F535"/>
      <c r="G535" s="20"/>
    </row>
    <row r="536" spans="3:7" x14ac:dyDescent="0.3">
      <c r="C536"/>
      <c r="D536"/>
      <c r="E536"/>
      <c r="F536"/>
      <c r="G536" s="20"/>
    </row>
    <row r="537" spans="3:7" x14ac:dyDescent="0.3">
      <c r="C537"/>
      <c r="D537"/>
      <c r="E537"/>
      <c r="F537"/>
      <c r="G537" s="20"/>
    </row>
    <row r="538" spans="3:7" x14ac:dyDescent="0.3">
      <c r="C538"/>
      <c r="D538"/>
      <c r="E538"/>
      <c r="F538"/>
      <c r="G538" s="20"/>
    </row>
    <row r="539" spans="3:7" x14ac:dyDescent="0.3">
      <c r="C539"/>
      <c r="D539"/>
      <c r="E539"/>
      <c r="F539"/>
      <c r="G539" s="20"/>
    </row>
    <row r="540" spans="3:7" x14ac:dyDescent="0.3">
      <c r="C540"/>
      <c r="D540"/>
      <c r="E540"/>
      <c r="F540"/>
      <c r="G540" s="20"/>
    </row>
    <row r="541" spans="3:7" x14ac:dyDescent="0.3">
      <c r="C541"/>
      <c r="D541"/>
      <c r="E541"/>
      <c r="F541"/>
      <c r="G541" s="20"/>
    </row>
    <row r="542" spans="3:7" x14ac:dyDescent="0.3">
      <c r="C542"/>
      <c r="D542"/>
      <c r="E542"/>
      <c r="F542"/>
      <c r="G542" s="20"/>
    </row>
    <row r="543" spans="3:7" x14ac:dyDescent="0.3">
      <c r="C543"/>
      <c r="D543"/>
      <c r="E543"/>
      <c r="F543"/>
      <c r="G543" s="20"/>
    </row>
    <row r="544" spans="3:7" x14ac:dyDescent="0.3">
      <c r="C544"/>
      <c r="D544"/>
      <c r="E544"/>
      <c r="F544"/>
      <c r="G544" s="20"/>
    </row>
    <row r="545" spans="3:7" x14ac:dyDescent="0.3">
      <c r="C545"/>
      <c r="D545"/>
      <c r="E545"/>
      <c r="F545"/>
      <c r="G545" s="20"/>
    </row>
    <row r="546" spans="3:7" x14ac:dyDescent="0.3">
      <c r="C546"/>
      <c r="D546"/>
      <c r="E546"/>
      <c r="F546"/>
      <c r="G546" s="20"/>
    </row>
    <row r="547" spans="3:7" x14ac:dyDescent="0.3">
      <c r="C547"/>
      <c r="D547"/>
      <c r="E547"/>
      <c r="F547"/>
      <c r="G547" s="20"/>
    </row>
    <row r="548" spans="3:7" x14ac:dyDescent="0.3">
      <c r="C548"/>
      <c r="D548"/>
      <c r="E548"/>
      <c r="F548"/>
      <c r="G548" s="20"/>
    </row>
    <row r="549" spans="3:7" x14ac:dyDescent="0.3">
      <c r="C549"/>
      <c r="D549"/>
      <c r="E549"/>
      <c r="F549"/>
      <c r="G549" s="20"/>
    </row>
    <row r="550" spans="3:7" x14ac:dyDescent="0.3">
      <c r="C550"/>
      <c r="D550"/>
      <c r="E550"/>
      <c r="F550"/>
      <c r="G550" s="20"/>
    </row>
    <row r="551" spans="3:7" x14ac:dyDescent="0.3">
      <c r="C551"/>
      <c r="D551"/>
      <c r="E551"/>
      <c r="F551"/>
      <c r="G551" s="20"/>
    </row>
    <row r="552" spans="3:7" x14ac:dyDescent="0.3">
      <c r="C552"/>
      <c r="D552"/>
      <c r="E552"/>
      <c r="F552"/>
      <c r="G552" s="20"/>
    </row>
    <row r="553" spans="3:7" x14ac:dyDescent="0.3">
      <c r="C553"/>
      <c r="D553"/>
      <c r="E553"/>
      <c r="F553"/>
      <c r="G553" s="20"/>
    </row>
    <row r="554" spans="3:7" x14ac:dyDescent="0.3">
      <c r="C554"/>
      <c r="D554"/>
      <c r="E554"/>
      <c r="F554"/>
      <c r="G554" s="20"/>
    </row>
    <row r="555" spans="3:7" x14ac:dyDescent="0.3">
      <c r="C555"/>
      <c r="D555"/>
      <c r="E555"/>
      <c r="F555"/>
      <c r="G555" s="20"/>
    </row>
    <row r="556" spans="3:7" x14ac:dyDescent="0.3">
      <c r="C556"/>
      <c r="D556"/>
      <c r="E556"/>
      <c r="F556"/>
      <c r="G556" s="20"/>
    </row>
    <row r="557" spans="3:7" x14ac:dyDescent="0.3">
      <c r="C557"/>
      <c r="D557"/>
      <c r="E557"/>
      <c r="F557"/>
      <c r="G557" s="20"/>
    </row>
    <row r="558" spans="3:7" x14ac:dyDescent="0.3">
      <c r="C558"/>
      <c r="D558"/>
      <c r="E558"/>
      <c r="F558"/>
      <c r="G558" s="20"/>
    </row>
    <row r="559" spans="3:7" x14ac:dyDescent="0.3">
      <c r="C559"/>
      <c r="D559"/>
      <c r="E559"/>
      <c r="F559"/>
      <c r="G559" s="20"/>
    </row>
    <row r="560" spans="3:7" x14ac:dyDescent="0.3">
      <c r="C560"/>
      <c r="D560"/>
      <c r="E560"/>
      <c r="F560"/>
      <c r="G560" s="20"/>
    </row>
    <row r="561" spans="3:7" x14ac:dyDescent="0.3">
      <c r="C561"/>
      <c r="D561"/>
      <c r="E561"/>
      <c r="F561"/>
      <c r="G561" s="20"/>
    </row>
    <row r="562" spans="3:7" x14ac:dyDescent="0.3">
      <c r="C562"/>
      <c r="D562"/>
      <c r="E562"/>
      <c r="F562"/>
      <c r="G562" s="20"/>
    </row>
    <row r="563" spans="3:7" x14ac:dyDescent="0.3">
      <c r="C563"/>
      <c r="D563"/>
      <c r="E563"/>
      <c r="F563"/>
      <c r="G563" s="20"/>
    </row>
    <row r="564" spans="3:7" x14ac:dyDescent="0.3">
      <c r="C564"/>
      <c r="D564"/>
      <c r="E564"/>
      <c r="F564"/>
      <c r="G564" s="20"/>
    </row>
    <row r="565" spans="3:7" x14ac:dyDescent="0.3">
      <c r="C565"/>
      <c r="D565"/>
      <c r="E565"/>
      <c r="F565"/>
      <c r="G565" s="20"/>
    </row>
    <row r="566" spans="3:7" x14ac:dyDescent="0.3">
      <c r="C566"/>
      <c r="D566"/>
      <c r="E566"/>
      <c r="F566"/>
      <c r="G566" s="20"/>
    </row>
    <row r="567" spans="3:7" x14ac:dyDescent="0.3">
      <c r="C567"/>
      <c r="D567"/>
      <c r="E567"/>
      <c r="F567"/>
      <c r="G567" s="20"/>
    </row>
    <row r="568" spans="3:7" x14ac:dyDescent="0.3">
      <c r="C568"/>
      <c r="D568"/>
      <c r="E568"/>
      <c r="F568"/>
      <c r="G568" s="20"/>
    </row>
    <row r="569" spans="3:7" x14ac:dyDescent="0.3">
      <c r="C569"/>
      <c r="D569"/>
      <c r="E569"/>
      <c r="F569"/>
      <c r="G569" s="20"/>
    </row>
    <row r="570" spans="3:7" x14ac:dyDescent="0.3">
      <c r="C570"/>
      <c r="D570"/>
      <c r="E570"/>
      <c r="F570"/>
      <c r="G570" s="20"/>
    </row>
    <row r="571" spans="3:7" x14ac:dyDescent="0.3">
      <c r="C571"/>
      <c r="D571"/>
      <c r="E571"/>
      <c r="F571"/>
      <c r="G571" s="20"/>
    </row>
    <row r="572" spans="3:7" x14ac:dyDescent="0.3">
      <c r="C572"/>
      <c r="D572"/>
      <c r="E572"/>
      <c r="F572"/>
      <c r="G572" s="20"/>
    </row>
    <row r="573" spans="3:7" x14ac:dyDescent="0.3">
      <c r="C573"/>
      <c r="D573"/>
      <c r="E573"/>
      <c r="F573"/>
      <c r="G573" s="20"/>
    </row>
    <row r="574" spans="3:7" x14ac:dyDescent="0.3">
      <c r="C574"/>
      <c r="D574"/>
      <c r="E574"/>
      <c r="F574"/>
      <c r="G574" s="20"/>
    </row>
    <row r="575" spans="3:7" x14ac:dyDescent="0.3">
      <c r="C575"/>
      <c r="D575"/>
      <c r="E575"/>
      <c r="F575"/>
      <c r="G575" s="20"/>
    </row>
    <row r="576" spans="3:7" x14ac:dyDescent="0.3">
      <c r="C576"/>
      <c r="D576"/>
      <c r="E576"/>
      <c r="F576"/>
      <c r="G576" s="20"/>
    </row>
    <row r="577" spans="3:7" x14ac:dyDescent="0.3">
      <c r="C577"/>
      <c r="D577"/>
      <c r="E577"/>
      <c r="F577"/>
      <c r="G577" s="20"/>
    </row>
    <row r="578" spans="3:7" x14ac:dyDescent="0.3">
      <c r="C578"/>
      <c r="D578"/>
      <c r="E578"/>
      <c r="F578"/>
      <c r="G578" s="20"/>
    </row>
    <row r="579" spans="3:7" x14ac:dyDescent="0.3">
      <c r="C579"/>
      <c r="D579"/>
      <c r="E579"/>
      <c r="F579"/>
      <c r="G579" s="20"/>
    </row>
    <row r="580" spans="3:7" x14ac:dyDescent="0.3">
      <c r="C580"/>
      <c r="D580"/>
      <c r="E580"/>
      <c r="F580"/>
      <c r="G580" s="20"/>
    </row>
    <row r="581" spans="3:7" x14ac:dyDescent="0.3">
      <c r="C581"/>
      <c r="D581"/>
      <c r="E581"/>
      <c r="F581"/>
      <c r="G581" s="20"/>
    </row>
    <row r="582" spans="3:7" x14ac:dyDescent="0.3">
      <c r="C582"/>
      <c r="D582"/>
      <c r="E582"/>
      <c r="F582"/>
      <c r="G582" s="20"/>
    </row>
    <row r="583" spans="3:7" x14ac:dyDescent="0.3">
      <c r="C583"/>
      <c r="D583"/>
      <c r="E583"/>
      <c r="F583"/>
      <c r="G583" s="20"/>
    </row>
    <row r="584" spans="3:7" x14ac:dyDescent="0.3">
      <c r="C584"/>
      <c r="D584"/>
      <c r="E584"/>
      <c r="F584"/>
      <c r="G584" s="20"/>
    </row>
    <row r="585" spans="3:7" x14ac:dyDescent="0.3">
      <c r="C585"/>
      <c r="D585"/>
      <c r="E585"/>
      <c r="F585"/>
      <c r="G585" s="20"/>
    </row>
    <row r="586" spans="3:7" x14ac:dyDescent="0.3">
      <c r="C586"/>
      <c r="D586"/>
      <c r="E586"/>
      <c r="F586"/>
      <c r="G586" s="20"/>
    </row>
    <row r="587" spans="3:7" x14ac:dyDescent="0.3">
      <c r="C587"/>
      <c r="D587"/>
      <c r="E587"/>
      <c r="F587"/>
      <c r="G587" s="20"/>
    </row>
    <row r="588" spans="3:7" x14ac:dyDescent="0.3">
      <c r="C588"/>
      <c r="D588"/>
      <c r="E588"/>
      <c r="F588"/>
      <c r="G588" s="20"/>
    </row>
    <row r="589" spans="3:7" x14ac:dyDescent="0.3">
      <c r="C589"/>
      <c r="D589"/>
      <c r="E589"/>
      <c r="F589"/>
      <c r="G589" s="20"/>
    </row>
    <row r="590" spans="3:7" x14ac:dyDescent="0.3">
      <c r="C590"/>
      <c r="D590"/>
      <c r="E590"/>
      <c r="F590"/>
      <c r="G590" s="20"/>
    </row>
    <row r="591" spans="3:7" x14ac:dyDescent="0.3">
      <c r="C591"/>
      <c r="D591"/>
      <c r="E591"/>
      <c r="F591"/>
      <c r="G591" s="20"/>
    </row>
    <row r="592" spans="3:7" x14ac:dyDescent="0.3">
      <c r="C592"/>
      <c r="D592"/>
      <c r="E592"/>
      <c r="F592"/>
      <c r="G592" s="20"/>
    </row>
    <row r="593" spans="3:7" x14ac:dyDescent="0.3">
      <c r="C593"/>
      <c r="D593"/>
      <c r="E593"/>
      <c r="F593"/>
      <c r="G593" s="20"/>
    </row>
    <row r="594" spans="3:7" x14ac:dyDescent="0.3">
      <c r="C594"/>
      <c r="D594"/>
      <c r="E594"/>
      <c r="F594"/>
      <c r="G594" s="20"/>
    </row>
    <row r="595" spans="3:7" x14ac:dyDescent="0.3">
      <c r="C595"/>
      <c r="D595"/>
      <c r="E595"/>
      <c r="F595"/>
      <c r="G595" s="20"/>
    </row>
    <row r="596" spans="3:7" x14ac:dyDescent="0.3">
      <c r="C596"/>
      <c r="D596"/>
      <c r="E596"/>
      <c r="F596"/>
      <c r="G596" s="20"/>
    </row>
    <row r="597" spans="3:7" x14ac:dyDescent="0.3">
      <c r="C597"/>
      <c r="D597"/>
      <c r="E597"/>
      <c r="F597"/>
      <c r="G597" s="20"/>
    </row>
    <row r="598" spans="3:7" x14ac:dyDescent="0.3">
      <c r="C598"/>
      <c r="D598"/>
      <c r="E598"/>
      <c r="F598"/>
      <c r="G598" s="20"/>
    </row>
    <row r="599" spans="3:7" x14ac:dyDescent="0.3">
      <c r="C599"/>
      <c r="D599"/>
      <c r="E599"/>
      <c r="F599"/>
      <c r="G599" s="20"/>
    </row>
    <row r="600" spans="3:7" x14ac:dyDescent="0.3">
      <c r="C600"/>
      <c r="D600"/>
      <c r="E600"/>
      <c r="F600"/>
      <c r="G600" s="20"/>
    </row>
    <row r="601" spans="3:7" x14ac:dyDescent="0.3">
      <c r="C601"/>
      <c r="D601"/>
      <c r="E601"/>
      <c r="F601"/>
      <c r="G601" s="20"/>
    </row>
    <row r="602" spans="3:7" x14ac:dyDescent="0.3">
      <c r="C602"/>
      <c r="D602"/>
      <c r="E602"/>
      <c r="F602"/>
      <c r="G602" s="20"/>
    </row>
    <row r="603" spans="3:7" x14ac:dyDescent="0.3">
      <c r="C603"/>
      <c r="D603"/>
      <c r="E603"/>
      <c r="F603"/>
      <c r="G603" s="20"/>
    </row>
    <row r="604" spans="3:7" x14ac:dyDescent="0.3">
      <c r="C604"/>
      <c r="D604"/>
      <c r="E604"/>
      <c r="F604"/>
      <c r="G604" s="20"/>
    </row>
    <row r="605" spans="3:7" x14ac:dyDescent="0.3">
      <c r="C605"/>
      <c r="D605"/>
      <c r="E605"/>
      <c r="F605"/>
      <c r="G605" s="20"/>
    </row>
    <row r="606" spans="3:7" x14ac:dyDescent="0.3">
      <c r="C606"/>
      <c r="D606"/>
      <c r="E606"/>
      <c r="F606"/>
      <c r="G606" s="20"/>
    </row>
    <row r="607" spans="3:7" x14ac:dyDescent="0.3">
      <c r="C607"/>
      <c r="D607"/>
      <c r="E607"/>
      <c r="F607"/>
      <c r="G607" s="20"/>
    </row>
    <row r="608" spans="3:7" x14ac:dyDescent="0.3">
      <c r="C608"/>
      <c r="D608"/>
      <c r="E608"/>
      <c r="F608"/>
      <c r="G608" s="20"/>
    </row>
    <row r="609" spans="3:7" x14ac:dyDescent="0.3">
      <c r="C609"/>
      <c r="D609"/>
      <c r="E609"/>
      <c r="F609"/>
      <c r="G609" s="20"/>
    </row>
    <row r="610" spans="3:7" x14ac:dyDescent="0.3">
      <c r="C610"/>
      <c r="D610"/>
      <c r="E610"/>
      <c r="F610"/>
      <c r="G610" s="20"/>
    </row>
    <row r="611" spans="3:7" x14ac:dyDescent="0.3">
      <c r="C611"/>
      <c r="D611"/>
      <c r="E611"/>
      <c r="F611"/>
      <c r="G611" s="20"/>
    </row>
    <row r="612" spans="3:7" x14ac:dyDescent="0.3">
      <c r="C612"/>
      <c r="D612"/>
      <c r="E612"/>
      <c r="F612"/>
      <c r="G612" s="20"/>
    </row>
    <row r="613" spans="3:7" x14ac:dyDescent="0.3">
      <c r="C613"/>
      <c r="D613"/>
      <c r="E613"/>
      <c r="F613"/>
      <c r="G613" s="20"/>
    </row>
    <row r="614" spans="3:7" x14ac:dyDescent="0.3">
      <c r="C614"/>
      <c r="D614"/>
      <c r="E614"/>
      <c r="F614"/>
      <c r="G614" s="20"/>
    </row>
    <row r="615" spans="3:7" x14ac:dyDescent="0.3">
      <c r="C615"/>
      <c r="D615"/>
      <c r="E615"/>
      <c r="F615"/>
      <c r="G615" s="20"/>
    </row>
    <row r="616" spans="3:7" x14ac:dyDescent="0.3">
      <c r="C616"/>
      <c r="D616"/>
      <c r="E616"/>
      <c r="F616"/>
      <c r="G616" s="20"/>
    </row>
    <row r="617" spans="3:7" x14ac:dyDescent="0.3">
      <c r="C617"/>
      <c r="D617"/>
      <c r="E617"/>
      <c r="F617"/>
      <c r="G617" s="20"/>
    </row>
    <row r="618" spans="3:7" x14ac:dyDescent="0.3">
      <c r="C618"/>
      <c r="D618"/>
      <c r="E618"/>
      <c r="F618"/>
      <c r="G618" s="20"/>
    </row>
    <row r="619" spans="3:7" x14ac:dyDescent="0.3">
      <c r="C619"/>
      <c r="D619"/>
      <c r="E619"/>
      <c r="F619"/>
      <c r="G619" s="20"/>
    </row>
    <row r="620" spans="3:7" x14ac:dyDescent="0.3">
      <c r="C620"/>
      <c r="D620"/>
      <c r="E620"/>
      <c r="F620"/>
      <c r="G620" s="20"/>
    </row>
    <row r="621" spans="3:7" x14ac:dyDescent="0.3">
      <c r="C621"/>
      <c r="D621"/>
      <c r="E621"/>
      <c r="F621"/>
      <c r="G621" s="20"/>
    </row>
    <row r="622" spans="3:7" x14ac:dyDescent="0.3">
      <c r="C622"/>
      <c r="D622"/>
      <c r="E622"/>
      <c r="F622"/>
      <c r="G622" s="20"/>
    </row>
    <row r="623" spans="3:7" x14ac:dyDescent="0.3">
      <c r="C623"/>
      <c r="D623"/>
      <c r="E623"/>
      <c r="F623"/>
      <c r="G623" s="20"/>
    </row>
    <row r="624" spans="3:7" x14ac:dyDescent="0.3">
      <c r="C624"/>
      <c r="D624"/>
      <c r="E624"/>
      <c r="F624"/>
      <c r="G624" s="20"/>
    </row>
    <row r="625" spans="3:7" x14ac:dyDescent="0.3">
      <c r="C625"/>
      <c r="D625"/>
      <c r="E625"/>
      <c r="F625"/>
      <c r="G625" s="20"/>
    </row>
    <row r="626" spans="3:7" x14ac:dyDescent="0.3">
      <c r="C626"/>
      <c r="D626"/>
      <c r="E626"/>
      <c r="F626"/>
      <c r="G626" s="20"/>
    </row>
    <row r="627" spans="3:7" x14ac:dyDescent="0.3">
      <c r="C627"/>
      <c r="D627"/>
      <c r="E627"/>
      <c r="F627"/>
      <c r="G627" s="20"/>
    </row>
    <row r="628" spans="3:7" x14ac:dyDescent="0.3">
      <c r="C628"/>
      <c r="D628"/>
      <c r="E628"/>
      <c r="F628"/>
      <c r="G628" s="20"/>
    </row>
    <row r="629" spans="3:7" x14ac:dyDescent="0.3">
      <c r="C629"/>
      <c r="D629"/>
      <c r="E629"/>
      <c r="F629"/>
      <c r="G629" s="20"/>
    </row>
    <row r="630" spans="3:7" x14ac:dyDescent="0.3">
      <c r="C630"/>
      <c r="D630"/>
      <c r="E630"/>
      <c r="F630"/>
      <c r="G630" s="20"/>
    </row>
    <row r="631" spans="3:7" x14ac:dyDescent="0.3">
      <c r="C631"/>
      <c r="D631"/>
      <c r="E631"/>
      <c r="F631"/>
      <c r="G631" s="20"/>
    </row>
    <row r="632" spans="3:7" x14ac:dyDescent="0.3">
      <c r="C632"/>
      <c r="D632"/>
      <c r="E632"/>
      <c r="F632"/>
      <c r="G632" s="20"/>
    </row>
    <row r="633" spans="3:7" x14ac:dyDescent="0.3">
      <c r="C633"/>
      <c r="D633"/>
      <c r="E633"/>
      <c r="F633"/>
      <c r="G633" s="20"/>
    </row>
    <row r="634" spans="3:7" x14ac:dyDescent="0.3">
      <c r="C634"/>
      <c r="D634"/>
      <c r="E634"/>
      <c r="F634"/>
      <c r="G634" s="20"/>
    </row>
    <row r="635" spans="3:7" x14ac:dyDescent="0.3">
      <c r="C635"/>
      <c r="D635"/>
      <c r="E635"/>
      <c r="F635"/>
      <c r="G635" s="20"/>
    </row>
    <row r="636" spans="3:7" x14ac:dyDescent="0.3">
      <c r="C636"/>
      <c r="D636"/>
      <c r="E636"/>
      <c r="F636"/>
      <c r="G636" s="20"/>
    </row>
    <row r="637" spans="3:7" x14ac:dyDescent="0.3">
      <c r="C637"/>
      <c r="D637"/>
      <c r="E637"/>
      <c r="F637"/>
      <c r="G637" s="20"/>
    </row>
    <row r="638" spans="3:7" x14ac:dyDescent="0.3">
      <c r="C638"/>
      <c r="D638"/>
      <c r="E638"/>
      <c r="F638"/>
      <c r="G638" s="20"/>
    </row>
    <row r="639" spans="3:7" x14ac:dyDescent="0.3">
      <c r="C639"/>
      <c r="D639"/>
      <c r="E639"/>
      <c r="F639"/>
      <c r="G639" s="20"/>
    </row>
    <row r="640" spans="3:7" x14ac:dyDescent="0.3">
      <c r="C640"/>
      <c r="D640"/>
      <c r="E640"/>
      <c r="F640"/>
      <c r="G640" s="20"/>
    </row>
    <row r="641" spans="3:7" x14ac:dyDescent="0.3">
      <c r="C641"/>
      <c r="D641"/>
      <c r="E641"/>
      <c r="F641"/>
      <c r="G641" s="20"/>
    </row>
    <row r="642" spans="3:7" x14ac:dyDescent="0.3">
      <c r="C642"/>
      <c r="D642"/>
      <c r="E642"/>
      <c r="F642"/>
      <c r="G642" s="20"/>
    </row>
    <row r="643" spans="3:7" x14ac:dyDescent="0.3">
      <c r="C643"/>
      <c r="D643"/>
      <c r="E643"/>
      <c r="F643"/>
      <c r="G643" s="20"/>
    </row>
    <row r="644" spans="3:7" x14ac:dyDescent="0.3">
      <c r="C644"/>
      <c r="D644"/>
      <c r="E644"/>
      <c r="F644"/>
      <c r="G644" s="20"/>
    </row>
    <row r="645" spans="3:7" x14ac:dyDescent="0.3">
      <c r="C645"/>
      <c r="D645"/>
      <c r="E645"/>
      <c r="F645"/>
      <c r="G645" s="20"/>
    </row>
    <row r="646" spans="3:7" x14ac:dyDescent="0.3">
      <c r="C646"/>
      <c r="D646"/>
      <c r="E646"/>
      <c r="F646"/>
      <c r="G646" s="20"/>
    </row>
    <row r="647" spans="3:7" x14ac:dyDescent="0.3">
      <c r="C647"/>
      <c r="D647"/>
      <c r="E647"/>
      <c r="F647"/>
      <c r="G647" s="20"/>
    </row>
    <row r="648" spans="3:7" x14ac:dyDescent="0.3">
      <c r="C648"/>
      <c r="D648"/>
      <c r="E648"/>
      <c r="F648"/>
      <c r="G648" s="20"/>
    </row>
    <row r="649" spans="3:7" x14ac:dyDescent="0.3">
      <c r="C649"/>
      <c r="D649"/>
      <c r="E649"/>
      <c r="F649"/>
      <c r="G649" s="20"/>
    </row>
    <row r="650" spans="3:7" x14ac:dyDescent="0.3">
      <c r="C650"/>
      <c r="D650"/>
      <c r="E650"/>
      <c r="F650"/>
      <c r="G650" s="20"/>
    </row>
    <row r="651" spans="3:7" x14ac:dyDescent="0.3">
      <c r="C651"/>
      <c r="D651"/>
      <c r="E651"/>
      <c r="F651"/>
      <c r="G651" s="20"/>
    </row>
    <row r="652" spans="3:7" x14ac:dyDescent="0.3">
      <c r="C652"/>
      <c r="D652"/>
      <c r="E652"/>
      <c r="F652"/>
      <c r="G652" s="20"/>
    </row>
    <row r="653" spans="3:7" x14ac:dyDescent="0.3">
      <c r="C653"/>
      <c r="D653"/>
      <c r="E653"/>
      <c r="F653"/>
      <c r="G653" s="20"/>
    </row>
    <row r="654" spans="3:7" x14ac:dyDescent="0.3">
      <c r="C654"/>
      <c r="D654"/>
      <c r="E654"/>
      <c r="F654"/>
      <c r="G654" s="20"/>
    </row>
    <row r="655" spans="3:7" x14ac:dyDescent="0.3">
      <c r="C655"/>
      <c r="D655"/>
      <c r="E655"/>
      <c r="F655"/>
      <c r="G655" s="20"/>
    </row>
    <row r="656" spans="3:7" x14ac:dyDescent="0.3">
      <c r="C656"/>
      <c r="D656"/>
      <c r="E656"/>
      <c r="F656"/>
      <c r="G656" s="20"/>
    </row>
    <row r="657" spans="3:7" x14ac:dyDescent="0.3">
      <c r="C657"/>
      <c r="D657"/>
      <c r="E657"/>
      <c r="F657"/>
      <c r="G657" s="20"/>
    </row>
    <row r="658" spans="3:7" x14ac:dyDescent="0.3">
      <c r="C658"/>
      <c r="D658"/>
      <c r="E658"/>
      <c r="F658"/>
      <c r="G658" s="20"/>
    </row>
    <row r="659" spans="3:7" x14ac:dyDescent="0.3">
      <c r="C659"/>
      <c r="D659"/>
      <c r="E659"/>
      <c r="F659"/>
      <c r="G659" s="20"/>
    </row>
    <row r="660" spans="3:7" x14ac:dyDescent="0.3">
      <c r="C660"/>
      <c r="D660"/>
      <c r="E660"/>
      <c r="F660"/>
      <c r="G660" s="20"/>
    </row>
    <row r="661" spans="3:7" x14ac:dyDescent="0.3">
      <c r="C661"/>
      <c r="D661"/>
      <c r="E661"/>
      <c r="F661"/>
      <c r="G661" s="20"/>
    </row>
    <row r="662" spans="3:7" x14ac:dyDescent="0.3">
      <c r="C662"/>
      <c r="D662"/>
      <c r="E662"/>
      <c r="F662"/>
      <c r="G662" s="20"/>
    </row>
    <row r="663" spans="3:7" x14ac:dyDescent="0.3">
      <c r="C663"/>
      <c r="D663"/>
      <c r="E663"/>
      <c r="F663"/>
      <c r="G663" s="20"/>
    </row>
    <row r="664" spans="3:7" x14ac:dyDescent="0.3">
      <c r="C664"/>
      <c r="D664"/>
      <c r="E664"/>
      <c r="F664"/>
      <c r="G664" s="20"/>
    </row>
    <row r="665" spans="3:7" x14ac:dyDescent="0.3">
      <c r="C665"/>
      <c r="D665"/>
      <c r="E665"/>
      <c r="F665"/>
      <c r="G665" s="20"/>
    </row>
    <row r="666" spans="3:7" x14ac:dyDescent="0.3">
      <c r="C666"/>
      <c r="D666"/>
      <c r="E666"/>
      <c r="F666"/>
      <c r="G666" s="20"/>
    </row>
    <row r="667" spans="3:7" x14ac:dyDescent="0.3">
      <c r="C667"/>
      <c r="D667"/>
      <c r="E667"/>
      <c r="F667"/>
      <c r="G667" s="20"/>
    </row>
    <row r="668" spans="3:7" x14ac:dyDescent="0.3">
      <c r="C668"/>
      <c r="D668"/>
      <c r="E668"/>
      <c r="F668"/>
      <c r="G668" s="20"/>
    </row>
    <row r="669" spans="3:7" x14ac:dyDescent="0.3">
      <c r="C669"/>
      <c r="D669"/>
      <c r="E669"/>
      <c r="F669"/>
      <c r="G669" s="20"/>
    </row>
    <row r="670" spans="3:7" x14ac:dyDescent="0.3">
      <c r="C670"/>
      <c r="D670"/>
      <c r="E670"/>
      <c r="F670"/>
      <c r="G670" s="20"/>
    </row>
    <row r="671" spans="3:7" x14ac:dyDescent="0.3">
      <c r="C671"/>
      <c r="D671"/>
      <c r="E671"/>
      <c r="F671"/>
      <c r="G671" s="20"/>
    </row>
    <row r="672" spans="3:7" x14ac:dyDescent="0.3">
      <c r="C672"/>
      <c r="D672"/>
      <c r="E672"/>
      <c r="F672"/>
      <c r="G672" s="20"/>
    </row>
    <row r="673" spans="3:7" x14ac:dyDescent="0.3">
      <c r="C673"/>
      <c r="D673"/>
      <c r="E673"/>
      <c r="F673"/>
      <c r="G673" s="20"/>
    </row>
    <row r="674" spans="3:7" x14ac:dyDescent="0.3">
      <c r="C674"/>
      <c r="D674"/>
      <c r="E674"/>
      <c r="F674"/>
      <c r="G674" s="20"/>
    </row>
    <row r="675" spans="3:7" x14ac:dyDescent="0.3">
      <c r="C675"/>
      <c r="D675"/>
      <c r="E675"/>
      <c r="F675"/>
      <c r="G675" s="20"/>
    </row>
    <row r="676" spans="3:7" x14ac:dyDescent="0.3">
      <c r="C676"/>
      <c r="D676"/>
      <c r="E676"/>
      <c r="F676"/>
      <c r="G676" s="20"/>
    </row>
    <row r="677" spans="3:7" x14ac:dyDescent="0.3">
      <c r="C677"/>
      <c r="D677"/>
      <c r="E677"/>
      <c r="F677"/>
      <c r="G677" s="20"/>
    </row>
    <row r="678" spans="3:7" x14ac:dyDescent="0.3">
      <c r="C678"/>
      <c r="D678"/>
      <c r="E678"/>
      <c r="F678"/>
      <c r="G678" s="20"/>
    </row>
    <row r="679" spans="3:7" x14ac:dyDescent="0.3">
      <c r="C679"/>
      <c r="D679"/>
      <c r="E679"/>
      <c r="F679"/>
      <c r="G679" s="20"/>
    </row>
    <row r="680" spans="3:7" x14ac:dyDescent="0.3">
      <c r="C680"/>
      <c r="D680"/>
      <c r="E680"/>
      <c r="F680"/>
      <c r="G680" s="20"/>
    </row>
    <row r="681" spans="3:7" x14ac:dyDescent="0.3">
      <c r="C681"/>
      <c r="D681"/>
      <c r="E681"/>
      <c r="F681"/>
      <c r="G681" s="20"/>
    </row>
    <row r="682" spans="3:7" x14ac:dyDescent="0.3">
      <c r="C682"/>
      <c r="D682"/>
      <c r="E682"/>
      <c r="F682"/>
      <c r="G682" s="20"/>
    </row>
    <row r="683" spans="3:7" x14ac:dyDescent="0.3">
      <c r="C683"/>
      <c r="D683"/>
      <c r="E683"/>
      <c r="F683"/>
      <c r="G683" s="20"/>
    </row>
    <row r="684" spans="3:7" x14ac:dyDescent="0.3">
      <c r="C684"/>
      <c r="D684"/>
      <c r="E684"/>
      <c r="F684"/>
      <c r="G684" s="20"/>
    </row>
    <row r="685" spans="3:7" x14ac:dyDescent="0.3">
      <c r="C685"/>
      <c r="D685"/>
      <c r="E685"/>
      <c r="F685"/>
      <c r="G685" s="20"/>
    </row>
    <row r="686" spans="3:7" x14ac:dyDescent="0.3">
      <c r="C686"/>
      <c r="D686"/>
      <c r="E686"/>
      <c r="F686"/>
      <c r="G686" s="20"/>
    </row>
    <row r="687" spans="3:7" x14ac:dyDescent="0.3">
      <c r="C687"/>
      <c r="D687"/>
      <c r="E687"/>
      <c r="F687"/>
      <c r="G687" s="20"/>
    </row>
    <row r="688" spans="3:7" x14ac:dyDescent="0.3">
      <c r="C688"/>
      <c r="D688"/>
      <c r="E688"/>
      <c r="F688"/>
      <c r="G688" s="20"/>
    </row>
    <row r="689" spans="3:7" x14ac:dyDescent="0.3">
      <c r="C689"/>
      <c r="D689"/>
      <c r="E689"/>
      <c r="F689"/>
      <c r="G689" s="20"/>
    </row>
    <row r="690" spans="3:7" x14ac:dyDescent="0.3">
      <c r="C690"/>
      <c r="D690"/>
      <c r="E690"/>
      <c r="F690"/>
      <c r="G690" s="20"/>
    </row>
    <row r="691" spans="3:7" x14ac:dyDescent="0.3">
      <c r="C691"/>
      <c r="D691"/>
      <c r="E691"/>
      <c r="F691"/>
      <c r="G691" s="20"/>
    </row>
    <row r="692" spans="3:7" x14ac:dyDescent="0.3">
      <c r="C692"/>
      <c r="D692"/>
      <c r="E692"/>
      <c r="F692"/>
      <c r="G692" s="20"/>
    </row>
    <row r="693" spans="3:7" x14ac:dyDescent="0.3">
      <c r="C693"/>
      <c r="D693"/>
      <c r="E693"/>
      <c r="F693"/>
      <c r="G693" s="20"/>
    </row>
    <row r="694" spans="3:7" x14ac:dyDescent="0.3">
      <c r="C694"/>
      <c r="D694"/>
      <c r="E694"/>
      <c r="F694"/>
      <c r="G694" s="20"/>
    </row>
    <row r="695" spans="3:7" x14ac:dyDescent="0.3">
      <c r="C695"/>
      <c r="D695"/>
      <c r="E695"/>
      <c r="F695"/>
      <c r="G695" s="20"/>
    </row>
    <row r="696" spans="3:7" x14ac:dyDescent="0.3">
      <c r="C696"/>
      <c r="D696"/>
      <c r="E696"/>
      <c r="F696"/>
      <c r="G696" s="20"/>
    </row>
    <row r="697" spans="3:7" x14ac:dyDescent="0.3">
      <c r="C697"/>
      <c r="D697"/>
      <c r="E697"/>
      <c r="F697"/>
      <c r="G697" s="20"/>
    </row>
    <row r="698" spans="3:7" x14ac:dyDescent="0.3">
      <c r="C698"/>
      <c r="D698"/>
      <c r="E698"/>
      <c r="F698"/>
      <c r="G698" s="20"/>
    </row>
    <row r="699" spans="3:7" x14ac:dyDescent="0.3">
      <c r="C699"/>
      <c r="D699"/>
      <c r="E699"/>
      <c r="F699"/>
      <c r="G699" s="20"/>
    </row>
    <row r="700" spans="3:7" x14ac:dyDescent="0.3">
      <c r="C700"/>
      <c r="D700"/>
      <c r="E700"/>
      <c r="F700"/>
      <c r="G700" s="20"/>
    </row>
    <row r="701" spans="3:7" x14ac:dyDescent="0.3">
      <c r="C701"/>
      <c r="D701"/>
      <c r="E701"/>
      <c r="F701"/>
      <c r="G701" s="20"/>
    </row>
    <row r="702" spans="3:7" x14ac:dyDescent="0.3">
      <c r="C702"/>
      <c r="D702"/>
      <c r="E702"/>
      <c r="F702"/>
      <c r="G702" s="20"/>
    </row>
    <row r="703" spans="3:7" x14ac:dyDescent="0.3">
      <c r="C703"/>
      <c r="D703"/>
      <c r="E703"/>
      <c r="F703"/>
      <c r="G703" s="20"/>
    </row>
    <row r="704" spans="3:7" x14ac:dyDescent="0.3">
      <c r="C704"/>
      <c r="D704"/>
      <c r="E704"/>
      <c r="F704"/>
      <c r="G704" s="20"/>
    </row>
    <row r="705" spans="3:7" x14ac:dyDescent="0.3">
      <c r="C705"/>
      <c r="D705"/>
      <c r="E705"/>
      <c r="F705"/>
      <c r="G705" s="20"/>
    </row>
    <row r="706" spans="3:7" x14ac:dyDescent="0.3">
      <c r="C706"/>
      <c r="D706"/>
      <c r="E706"/>
      <c r="F706"/>
      <c r="G706" s="20"/>
    </row>
    <row r="707" spans="3:7" x14ac:dyDescent="0.3">
      <c r="C707"/>
      <c r="D707"/>
      <c r="E707"/>
      <c r="F707"/>
      <c r="G707" s="20"/>
    </row>
    <row r="708" spans="3:7" x14ac:dyDescent="0.3">
      <c r="C708"/>
      <c r="D708"/>
      <c r="E708"/>
      <c r="F708"/>
      <c r="G708" s="20"/>
    </row>
    <row r="709" spans="3:7" x14ac:dyDescent="0.3">
      <c r="C709"/>
      <c r="D709"/>
      <c r="E709"/>
      <c r="F709"/>
      <c r="G709" s="20"/>
    </row>
    <row r="710" spans="3:7" x14ac:dyDescent="0.3">
      <c r="C710"/>
      <c r="D710"/>
      <c r="E710"/>
      <c r="F710"/>
      <c r="G710" s="20"/>
    </row>
    <row r="711" spans="3:7" x14ac:dyDescent="0.3">
      <c r="C711"/>
      <c r="D711"/>
      <c r="E711"/>
      <c r="F711"/>
      <c r="G711" s="20"/>
    </row>
    <row r="712" spans="3:7" x14ac:dyDescent="0.3">
      <c r="C712"/>
      <c r="D712"/>
      <c r="E712"/>
      <c r="F712"/>
      <c r="G712" s="20"/>
    </row>
    <row r="713" spans="3:7" x14ac:dyDescent="0.3">
      <c r="C713"/>
      <c r="D713"/>
      <c r="E713"/>
      <c r="F713"/>
      <c r="G713" s="20"/>
    </row>
    <row r="714" spans="3:7" x14ac:dyDescent="0.3">
      <c r="C714"/>
      <c r="D714"/>
      <c r="E714"/>
      <c r="F714"/>
      <c r="G714" s="20"/>
    </row>
    <row r="715" spans="3:7" x14ac:dyDescent="0.3">
      <c r="C715"/>
      <c r="D715"/>
      <c r="E715"/>
      <c r="F715"/>
      <c r="G715" s="20"/>
    </row>
    <row r="716" spans="3:7" x14ac:dyDescent="0.3">
      <c r="C716"/>
      <c r="D716"/>
      <c r="E716"/>
      <c r="F716"/>
      <c r="G716" s="20"/>
    </row>
    <row r="717" spans="3:7" x14ac:dyDescent="0.3">
      <c r="C717"/>
      <c r="D717"/>
      <c r="E717"/>
      <c r="F717"/>
      <c r="G717" s="20"/>
    </row>
    <row r="718" spans="3:7" x14ac:dyDescent="0.3">
      <c r="C718"/>
      <c r="D718"/>
      <c r="E718"/>
      <c r="F718"/>
      <c r="G718" s="20"/>
    </row>
    <row r="719" spans="3:7" x14ac:dyDescent="0.3">
      <c r="C719"/>
      <c r="D719"/>
      <c r="E719"/>
      <c r="F719"/>
      <c r="G719" s="20"/>
    </row>
    <row r="720" spans="3:7" x14ac:dyDescent="0.3">
      <c r="C720"/>
      <c r="D720"/>
      <c r="E720"/>
      <c r="F720"/>
      <c r="G720" s="20"/>
    </row>
    <row r="721" spans="3:7" x14ac:dyDescent="0.3">
      <c r="C721"/>
      <c r="D721"/>
      <c r="E721"/>
      <c r="F721"/>
      <c r="G721" s="20"/>
    </row>
    <row r="722" spans="3:7" x14ac:dyDescent="0.3">
      <c r="C722"/>
      <c r="D722"/>
      <c r="E722"/>
      <c r="F722"/>
      <c r="G722" s="20"/>
    </row>
    <row r="723" spans="3:7" x14ac:dyDescent="0.3">
      <c r="C723"/>
      <c r="D723"/>
      <c r="E723"/>
      <c r="F723"/>
      <c r="G723" s="20"/>
    </row>
    <row r="724" spans="3:7" x14ac:dyDescent="0.3">
      <c r="C724"/>
      <c r="D724"/>
      <c r="E724"/>
      <c r="F724"/>
      <c r="G724" s="20"/>
    </row>
    <row r="725" spans="3:7" x14ac:dyDescent="0.3">
      <c r="C725"/>
      <c r="D725"/>
      <c r="E725"/>
      <c r="F725"/>
      <c r="G725" s="20"/>
    </row>
    <row r="726" spans="3:7" x14ac:dyDescent="0.3">
      <c r="C726"/>
      <c r="D726"/>
      <c r="E726"/>
      <c r="F726"/>
      <c r="G726" s="20"/>
    </row>
    <row r="727" spans="3:7" x14ac:dyDescent="0.3">
      <c r="C727"/>
      <c r="D727"/>
      <c r="E727"/>
      <c r="F727"/>
      <c r="G727" s="20"/>
    </row>
    <row r="728" spans="3:7" x14ac:dyDescent="0.3">
      <c r="C728"/>
      <c r="D728"/>
      <c r="E728"/>
      <c r="F728"/>
      <c r="G728" s="20"/>
    </row>
    <row r="729" spans="3:7" x14ac:dyDescent="0.3">
      <c r="C729"/>
      <c r="D729"/>
      <c r="E729"/>
      <c r="F729"/>
      <c r="G729" s="20"/>
    </row>
    <row r="730" spans="3:7" x14ac:dyDescent="0.3">
      <c r="C730"/>
      <c r="D730"/>
      <c r="E730"/>
      <c r="F730"/>
      <c r="G730" s="20"/>
    </row>
    <row r="731" spans="3:7" x14ac:dyDescent="0.3">
      <c r="C731"/>
      <c r="D731"/>
      <c r="E731"/>
      <c r="F731"/>
      <c r="G731" s="20"/>
    </row>
    <row r="732" spans="3:7" x14ac:dyDescent="0.3">
      <c r="C732"/>
      <c r="D732"/>
      <c r="E732"/>
      <c r="F732"/>
      <c r="G732" s="20"/>
    </row>
    <row r="733" spans="3:7" x14ac:dyDescent="0.3">
      <c r="C733"/>
      <c r="D733"/>
      <c r="E733"/>
      <c r="F733"/>
      <c r="G733" s="20"/>
    </row>
    <row r="734" spans="3:7" x14ac:dyDescent="0.3">
      <c r="C734"/>
      <c r="D734"/>
      <c r="E734"/>
      <c r="F734"/>
      <c r="G734" s="20"/>
    </row>
    <row r="735" spans="3:7" x14ac:dyDescent="0.3">
      <c r="C735"/>
      <c r="D735"/>
      <c r="E735"/>
      <c r="F735"/>
      <c r="G735" s="20"/>
    </row>
    <row r="736" spans="3:7" x14ac:dyDescent="0.3">
      <c r="C736"/>
      <c r="D736"/>
      <c r="E736"/>
      <c r="F736"/>
      <c r="G736" s="20"/>
    </row>
    <row r="737" spans="3:7" x14ac:dyDescent="0.3">
      <c r="C737"/>
      <c r="D737"/>
      <c r="E737"/>
      <c r="F737"/>
      <c r="G737" s="20"/>
    </row>
    <row r="738" spans="3:7" x14ac:dyDescent="0.3">
      <c r="C738"/>
      <c r="D738"/>
      <c r="E738"/>
      <c r="F738"/>
      <c r="G738" s="20"/>
    </row>
    <row r="739" spans="3:7" x14ac:dyDescent="0.3">
      <c r="C739"/>
      <c r="D739"/>
      <c r="E739"/>
      <c r="F739"/>
      <c r="G739" s="20"/>
    </row>
    <row r="740" spans="3:7" x14ac:dyDescent="0.3">
      <c r="C740"/>
      <c r="D740"/>
      <c r="E740"/>
      <c r="F740"/>
      <c r="G740" s="20"/>
    </row>
    <row r="741" spans="3:7" x14ac:dyDescent="0.3">
      <c r="C741"/>
      <c r="D741"/>
      <c r="E741"/>
      <c r="F741"/>
      <c r="G741" s="20"/>
    </row>
    <row r="742" spans="3:7" x14ac:dyDescent="0.3">
      <c r="C742"/>
      <c r="D742"/>
      <c r="E742"/>
      <c r="F742"/>
      <c r="G742" s="20"/>
    </row>
    <row r="743" spans="3:7" x14ac:dyDescent="0.3">
      <c r="C743"/>
      <c r="D743"/>
      <c r="E743"/>
      <c r="F743"/>
      <c r="G743" s="20"/>
    </row>
    <row r="744" spans="3:7" x14ac:dyDescent="0.3">
      <c r="C744"/>
      <c r="D744"/>
      <c r="E744"/>
      <c r="F744"/>
      <c r="G744" s="20"/>
    </row>
    <row r="745" spans="3:7" x14ac:dyDescent="0.3">
      <c r="C745"/>
      <c r="D745"/>
      <c r="E745"/>
      <c r="F745"/>
      <c r="G745" s="20"/>
    </row>
    <row r="746" spans="3:7" x14ac:dyDescent="0.3">
      <c r="C746"/>
      <c r="D746"/>
      <c r="E746"/>
      <c r="F746"/>
      <c r="G746" s="20"/>
    </row>
    <row r="747" spans="3:7" x14ac:dyDescent="0.3">
      <c r="C747"/>
      <c r="D747"/>
      <c r="E747"/>
      <c r="F747"/>
      <c r="G747" s="20"/>
    </row>
    <row r="748" spans="3:7" x14ac:dyDescent="0.3">
      <c r="C748"/>
      <c r="D748"/>
      <c r="E748"/>
      <c r="F748"/>
      <c r="G748" s="20"/>
    </row>
    <row r="749" spans="3:7" x14ac:dyDescent="0.3">
      <c r="C749"/>
      <c r="D749"/>
      <c r="E749"/>
      <c r="F749"/>
      <c r="G749" s="20"/>
    </row>
    <row r="750" spans="3:7" x14ac:dyDescent="0.3">
      <c r="C750"/>
      <c r="D750"/>
      <c r="E750"/>
      <c r="F750"/>
      <c r="G750" s="20"/>
    </row>
    <row r="751" spans="3:7" x14ac:dyDescent="0.3">
      <c r="C751"/>
      <c r="D751"/>
      <c r="E751"/>
      <c r="F751"/>
      <c r="G751" s="20"/>
    </row>
    <row r="752" spans="3:7" x14ac:dyDescent="0.3">
      <c r="C752"/>
      <c r="D752"/>
      <c r="E752"/>
      <c r="F752"/>
      <c r="G752" s="20"/>
    </row>
    <row r="753" spans="3:7" x14ac:dyDescent="0.3">
      <c r="C753"/>
      <c r="D753"/>
      <c r="E753"/>
      <c r="F753"/>
      <c r="G753" s="20"/>
    </row>
    <row r="754" spans="3:7" x14ac:dyDescent="0.3">
      <c r="C754"/>
      <c r="D754"/>
      <c r="E754"/>
      <c r="F754"/>
      <c r="G754" s="20"/>
    </row>
    <row r="755" spans="3:7" x14ac:dyDescent="0.3">
      <c r="C755"/>
      <c r="D755"/>
      <c r="E755"/>
      <c r="F755"/>
      <c r="G755" s="20"/>
    </row>
    <row r="756" spans="3:7" x14ac:dyDescent="0.3">
      <c r="C756"/>
      <c r="D756"/>
      <c r="E756"/>
      <c r="F756"/>
      <c r="G756" s="20"/>
    </row>
    <row r="757" spans="3:7" x14ac:dyDescent="0.3">
      <c r="C757"/>
      <c r="D757"/>
      <c r="E757"/>
      <c r="F757"/>
      <c r="G757" s="20"/>
    </row>
    <row r="758" spans="3:7" x14ac:dyDescent="0.3">
      <c r="C758"/>
      <c r="D758"/>
      <c r="E758"/>
      <c r="F758"/>
      <c r="G758" s="20"/>
    </row>
    <row r="759" spans="3:7" x14ac:dyDescent="0.3">
      <c r="C759"/>
      <c r="D759"/>
      <c r="E759"/>
      <c r="F759"/>
      <c r="G759" s="20"/>
    </row>
    <row r="760" spans="3:7" x14ac:dyDescent="0.3">
      <c r="C760"/>
      <c r="D760"/>
      <c r="E760"/>
      <c r="F760"/>
      <c r="G760" s="20"/>
    </row>
    <row r="761" spans="3:7" x14ac:dyDescent="0.3">
      <c r="C761"/>
      <c r="D761"/>
      <c r="E761"/>
      <c r="F761"/>
      <c r="G761" s="20"/>
    </row>
    <row r="762" spans="3:7" x14ac:dyDescent="0.3">
      <c r="C762"/>
      <c r="D762"/>
      <c r="E762"/>
      <c r="F762"/>
      <c r="G762" s="20"/>
    </row>
    <row r="763" spans="3:7" x14ac:dyDescent="0.3">
      <c r="C763"/>
      <c r="D763"/>
      <c r="E763"/>
      <c r="F763"/>
      <c r="G763" s="20"/>
    </row>
    <row r="764" spans="3:7" x14ac:dyDescent="0.3">
      <c r="C764"/>
      <c r="D764"/>
      <c r="E764"/>
      <c r="F764"/>
      <c r="G764" s="20"/>
    </row>
    <row r="765" spans="3:7" x14ac:dyDescent="0.3">
      <c r="C765"/>
      <c r="D765"/>
      <c r="E765"/>
      <c r="F765"/>
      <c r="G765" s="20"/>
    </row>
    <row r="766" spans="3:7" x14ac:dyDescent="0.3">
      <c r="C766"/>
      <c r="D766"/>
      <c r="E766"/>
      <c r="F766"/>
      <c r="G766" s="20"/>
    </row>
    <row r="767" spans="3:7" x14ac:dyDescent="0.3">
      <c r="C767"/>
      <c r="D767"/>
      <c r="E767"/>
      <c r="F767"/>
      <c r="G767" s="20"/>
    </row>
    <row r="768" spans="3:7" x14ac:dyDescent="0.3">
      <c r="C768"/>
      <c r="D768"/>
      <c r="E768"/>
      <c r="F768"/>
      <c r="G768" s="20"/>
    </row>
    <row r="769" spans="3:7" x14ac:dyDescent="0.3">
      <c r="C769"/>
      <c r="D769"/>
      <c r="E769"/>
      <c r="F769"/>
      <c r="G769" s="20"/>
    </row>
    <row r="770" spans="3:7" x14ac:dyDescent="0.3">
      <c r="C770"/>
      <c r="D770"/>
      <c r="E770"/>
      <c r="F770"/>
      <c r="G770" s="20"/>
    </row>
    <row r="771" spans="3:7" x14ac:dyDescent="0.3">
      <c r="C771"/>
      <c r="D771"/>
      <c r="E771"/>
      <c r="F771"/>
      <c r="G771" s="20"/>
    </row>
    <row r="772" spans="3:7" x14ac:dyDescent="0.3">
      <c r="C772"/>
      <c r="D772"/>
      <c r="E772"/>
      <c r="F772"/>
      <c r="G772" s="20"/>
    </row>
    <row r="773" spans="3:7" x14ac:dyDescent="0.3">
      <c r="C773"/>
      <c r="D773"/>
      <c r="E773"/>
      <c r="F773"/>
      <c r="G773" s="20"/>
    </row>
    <row r="774" spans="3:7" x14ac:dyDescent="0.3">
      <c r="C774"/>
      <c r="D774"/>
      <c r="E774"/>
      <c r="F774"/>
      <c r="G774" s="20"/>
    </row>
    <row r="775" spans="3:7" x14ac:dyDescent="0.3">
      <c r="C775"/>
      <c r="D775"/>
      <c r="E775"/>
      <c r="F775"/>
      <c r="G775" s="20"/>
    </row>
    <row r="776" spans="3:7" x14ac:dyDescent="0.3">
      <c r="C776"/>
      <c r="D776"/>
      <c r="E776"/>
      <c r="F776"/>
      <c r="G776" s="20"/>
    </row>
    <row r="777" spans="3:7" x14ac:dyDescent="0.3">
      <c r="C777"/>
      <c r="D777"/>
      <c r="E777"/>
      <c r="F777"/>
      <c r="G777" s="20"/>
    </row>
    <row r="778" spans="3:7" x14ac:dyDescent="0.3">
      <c r="C778"/>
      <c r="D778"/>
      <c r="E778"/>
      <c r="F778"/>
      <c r="G778" s="20"/>
    </row>
    <row r="779" spans="3:7" x14ac:dyDescent="0.3">
      <c r="C779"/>
      <c r="D779"/>
      <c r="E779"/>
      <c r="F779"/>
      <c r="G779" s="20"/>
    </row>
    <row r="780" spans="3:7" x14ac:dyDescent="0.3">
      <c r="C780"/>
      <c r="D780"/>
      <c r="E780"/>
      <c r="F780"/>
      <c r="G780" s="20"/>
    </row>
    <row r="781" spans="3:7" x14ac:dyDescent="0.3">
      <c r="C781"/>
      <c r="D781"/>
      <c r="E781"/>
      <c r="F781"/>
      <c r="G781" s="20"/>
    </row>
    <row r="782" spans="3:7" x14ac:dyDescent="0.3">
      <c r="C782"/>
      <c r="D782"/>
      <c r="E782"/>
      <c r="F782"/>
      <c r="G782" s="20"/>
    </row>
    <row r="783" spans="3:7" x14ac:dyDescent="0.3">
      <c r="C783"/>
      <c r="D783"/>
      <c r="E783"/>
      <c r="F783"/>
      <c r="G783" s="20"/>
    </row>
    <row r="784" spans="3:7" x14ac:dyDescent="0.3">
      <c r="C784"/>
      <c r="D784"/>
      <c r="E784"/>
      <c r="F784"/>
      <c r="G784" s="20"/>
    </row>
    <row r="785" spans="3:7" x14ac:dyDescent="0.3">
      <c r="C785"/>
      <c r="D785"/>
      <c r="E785"/>
      <c r="F785"/>
      <c r="G785" s="20"/>
    </row>
    <row r="786" spans="3:7" x14ac:dyDescent="0.3">
      <c r="C786"/>
      <c r="D786"/>
      <c r="E786"/>
      <c r="F786"/>
      <c r="G786" s="20"/>
    </row>
    <row r="787" spans="3:7" x14ac:dyDescent="0.3">
      <c r="C787"/>
      <c r="D787"/>
      <c r="E787"/>
      <c r="F787"/>
      <c r="G787" s="20"/>
    </row>
    <row r="788" spans="3:7" x14ac:dyDescent="0.3">
      <c r="C788"/>
      <c r="D788"/>
      <c r="E788"/>
      <c r="F788"/>
      <c r="G788" s="20"/>
    </row>
    <row r="789" spans="3:7" x14ac:dyDescent="0.3">
      <c r="C789"/>
      <c r="D789"/>
      <c r="E789"/>
      <c r="F789"/>
      <c r="G789" s="20"/>
    </row>
    <row r="790" spans="3:7" x14ac:dyDescent="0.3">
      <c r="C790"/>
      <c r="D790"/>
      <c r="E790"/>
      <c r="F790"/>
      <c r="G790" s="20"/>
    </row>
    <row r="791" spans="3:7" x14ac:dyDescent="0.3">
      <c r="C791"/>
      <c r="D791"/>
      <c r="E791"/>
      <c r="F791"/>
      <c r="G791" s="20"/>
    </row>
    <row r="792" spans="3:7" x14ac:dyDescent="0.3">
      <c r="C792"/>
      <c r="D792"/>
      <c r="E792"/>
      <c r="F792"/>
      <c r="G792" s="20"/>
    </row>
    <row r="793" spans="3:7" x14ac:dyDescent="0.3">
      <c r="C793"/>
      <c r="D793"/>
      <c r="E793"/>
      <c r="F793"/>
      <c r="G793" s="20"/>
    </row>
    <row r="794" spans="3:7" x14ac:dyDescent="0.3">
      <c r="C794"/>
      <c r="D794"/>
      <c r="E794"/>
      <c r="F794"/>
      <c r="G794" s="20"/>
    </row>
    <row r="795" spans="3:7" x14ac:dyDescent="0.3">
      <c r="C795"/>
      <c r="D795"/>
      <c r="E795"/>
      <c r="F795"/>
      <c r="G795" s="20"/>
    </row>
    <row r="796" spans="3:7" x14ac:dyDescent="0.3">
      <c r="C796"/>
      <c r="D796"/>
      <c r="E796"/>
      <c r="F796"/>
      <c r="G796" s="20"/>
    </row>
    <row r="797" spans="3:7" x14ac:dyDescent="0.3">
      <c r="C797"/>
      <c r="D797"/>
      <c r="E797"/>
      <c r="F797"/>
      <c r="G797" s="20"/>
    </row>
    <row r="798" spans="3:7" x14ac:dyDescent="0.3">
      <c r="C798"/>
      <c r="D798"/>
      <c r="E798"/>
      <c r="F798"/>
      <c r="G798" s="20"/>
    </row>
    <row r="799" spans="3:7" x14ac:dyDescent="0.3">
      <c r="C799"/>
      <c r="D799"/>
      <c r="E799"/>
      <c r="F799"/>
      <c r="G799" s="20"/>
    </row>
    <row r="800" spans="3:7" x14ac:dyDescent="0.3">
      <c r="C800"/>
      <c r="D800"/>
      <c r="E800"/>
      <c r="F800"/>
      <c r="G800" s="20"/>
    </row>
    <row r="801" spans="3:7" x14ac:dyDescent="0.3">
      <c r="C801"/>
      <c r="D801"/>
      <c r="E801"/>
      <c r="F801"/>
      <c r="G801" s="20"/>
    </row>
    <row r="802" spans="3:7" x14ac:dyDescent="0.3">
      <c r="C802"/>
      <c r="D802"/>
      <c r="E802"/>
      <c r="F802"/>
      <c r="G802" s="20"/>
    </row>
    <row r="803" spans="3:7" x14ac:dyDescent="0.3">
      <c r="C803"/>
      <c r="D803"/>
      <c r="E803"/>
      <c r="F803"/>
      <c r="G803" s="20"/>
    </row>
    <row r="804" spans="3:7" x14ac:dyDescent="0.3">
      <c r="C804"/>
      <c r="D804"/>
      <c r="E804"/>
      <c r="F804"/>
      <c r="G804" s="20"/>
    </row>
    <row r="805" spans="3:7" x14ac:dyDescent="0.3">
      <c r="C805"/>
      <c r="D805"/>
      <c r="E805"/>
      <c r="F805"/>
      <c r="G805" s="20"/>
    </row>
    <row r="806" spans="3:7" x14ac:dyDescent="0.3">
      <c r="C806"/>
      <c r="D806"/>
      <c r="E806"/>
      <c r="F806"/>
      <c r="G806" s="20"/>
    </row>
    <row r="807" spans="3:7" x14ac:dyDescent="0.3">
      <c r="C807"/>
      <c r="D807"/>
      <c r="E807"/>
      <c r="F807"/>
      <c r="G807" s="20"/>
    </row>
    <row r="808" spans="3:7" x14ac:dyDescent="0.3">
      <c r="C808"/>
      <c r="D808"/>
      <c r="E808"/>
      <c r="F808"/>
      <c r="G808" s="20"/>
    </row>
    <row r="809" spans="3:7" x14ac:dyDescent="0.3">
      <c r="C809"/>
      <c r="D809"/>
      <c r="E809"/>
      <c r="F809"/>
      <c r="G809" s="20"/>
    </row>
    <row r="810" spans="3:7" x14ac:dyDescent="0.3">
      <c r="C810"/>
      <c r="D810"/>
      <c r="E810"/>
      <c r="F810"/>
      <c r="G810" s="20"/>
    </row>
    <row r="811" spans="3:7" x14ac:dyDescent="0.3">
      <c r="C811"/>
      <c r="D811"/>
      <c r="E811"/>
      <c r="F811"/>
      <c r="G811" s="20"/>
    </row>
    <row r="812" spans="3:7" x14ac:dyDescent="0.3">
      <c r="C812"/>
      <c r="D812"/>
      <c r="E812"/>
      <c r="F812"/>
      <c r="G812" s="20"/>
    </row>
    <row r="813" spans="3:7" x14ac:dyDescent="0.3">
      <c r="C813"/>
      <c r="D813"/>
      <c r="E813"/>
      <c r="F813"/>
      <c r="G813" s="20"/>
    </row>
    <row r="814" spans="3:7" x14ac:dyDescent="0.3">
      <c r="C814"/>
      <c r="D814"/>
      <c r="E814"/>
      <c r="F814"/>
      <c r="G814" s="20"/>
    </row>
    <row r="815" spans="3:7" x14ac:dyDescent="0.3">
      <c r="C815"/>
      <c r="D815"/>
      <c r="E815"/>
      <c r="F815"/>
      <c r="G815" s="20"/>
    </row>
    <row r="816" spans="3:7" x14ac:dyDescent="0.3">
      <c r="C816"/>
      <c r="D816"/>
      <c r="E816"/>
      <c r="F816"/>
      <c r="G816" s="20"/>
    </row>
    <row r="817" spans="3:7" x14ac:dyDescent="0.3">
      <c r="C817"/>
      <c r="D817"/>
      <c r="E817"/>
      <c r="F817"/>
      <c r="G817" s="20"/>
    </row>
    <row r="818" spans="3:7" x14ac:dyDescent="0.3">
      <c r="C818"/>
      <c r="D818"/>
      <c r="E818"/>
      <c r="F818"/>
      <c r="G818" s="20"/>
    </row>
    <row r="819" spans="3:7" x14ac:dyDescent="0.3">
      <c r="C819"/>
      <c r="D819"/>
      <c r="E819"/>
      <c r="F819"/>
      <c r="G819" s="20"/>
    </row>
    <row r="820" spans="3:7" x14ac:dyDescent="0.3">
      <c r="C820"/>
      <c r="D820"/>
      <c r="E820"/>
      <c r="F820"/>
      <c r="G820" s="20"/>
    </row>
    <row r="821" spans="3:7" x14ac:dyDescent="0.3">
      <c r="C821"/>
      <c r="D821"/>
      <c r="E821"/>
      <c r="F821"/>
      <c r="G821" s="20"/>
    </row>
    <row r="822" spans="3:7" x14ac:dyDescent="0.3">
      <c r="C822"/>
      <c r="D822"/>
      <c r="E822"/>
      <c r="F822"/>
      <c r="G822" s="20"/>
    </row>
    <row r="823" spans="3:7" x14ac:dyDescent="0.3">
      <c r="C823"/>
      <c r="D823"/>
      <c r="E823"/>
      <c r="F823"/>
      <c r="G823" s="20"/>
    </row>
    <row r="824" spans="3:7" x14ac:dyDescent="0.3">
      <c r="C824"/>
      <c r="D824"/>
      <c r="E824"/>
      <c r="F824"/>
      <c r="G824" s="20"/>
    </row>
    <row r="825" spans="3:7" x14ac:dyDescent="0.3">
      <c r="C825"/>
      <c r="D825"/>
      <c r="E825"/>
      <c r="F825"/>
      <c r="G825" s="20"/>
    </row>
    <row r="826" spans="3:7" x14ac:dyDescent="0.3">
      <c r="C826"/>
      <c r="D826"/>
      <c r="E826"/>
      <c r="F826"/>
      <c r="G826" s="20"/>
    </row>
    <row r="827" spans="3:7" x14ac:dyDescent="0.3">
      <c r="C827"/>
      <c r="D827"/>
      <c r="E827"/>
      <c r="F827"/>
      <c r="G827" s="20"/>
    </row>
    <row r="828" spans="3:7" x14ac:dyDescent="0.3">
      <c r="C828"/>
      <c r="D828"/>
      <c r="E828"/>
      <c r="F828"/>
      <c r="G828" s="20"/>
    </row>
    <row r="829" spans="3:7" x14ac:dyDescent="0.3">
      <c r="C829"/>
      <c r="D829"/>
      <c r="E829"/>
      <c r="F829"/>
      <c r="G829" s="20"/>
    </row>
    <row r="830" spans="3:7" x14ac:dyDescent="0.3">
      <c r="C830"/>
      <c r="D830"/>
      <c r="E830"/>
      <c r="F830"/>
      <c r="G830" s="20"/>
    </row>
    <row r="831" spans="3:7" x14ac:dyDescent="0.3">
      <c r="C831"/>
      <c r="D831"/>
      <c r="E831"/>
      <c r="F831"/>
      <c r="G831" s="20"/>
    </row>
    <row r="832" spans="3:7" x14ac:dyDescent="0.3">
      <c r="C832"/>
      <c r="D832"/>
      <c r="E832"/>
      <c r="F832"/>
      <c r="G832" s="20"/>
    </row>
    <row r="833" spans="3:7" x14ac:dyDescent="0.3">
      <c r="C833"/>
      <c r="D833"/>
      <c r="E833"/>
      <c r="F833"/>
      <c r="G833" s="20"/>
    </row>
    <row r="834" spans="3:7" x14ac:dyDescent="0.3">
      <c r="C834"/>
      <c r="D834"/>
      <c r="E834"/>
      <c r="F834"/>
      <c r="G834" s="20"/>
    </row>
    <row r="835" spans="3:7" x14ac:dyDescent="0.3">
      <c r="C835"/>
      <c r="D835"/>
      <c r="E835"/>
      <c r="F835"/>
      <c r="G835" s="20"/>
    </row>
    <row r="836" spans="3:7" x14ac:dyDescent="0.3">
      <c r="C836"/>
      <c r="D836"/>
      <c r="E836"/>
      <c r="F836"/>
      <c r="G836" s="20"/>
    </row>
    <row r="837" spans="3:7" x14ac:dyDescent="0.3">
      <c r="C837"/>
      <c r="D837"/>
      <c r="E837"/>
      <c r="F837"/>
      <c r="G837" s="20"/>
    </row>
    <row r="838" spans="3:7" x14ac:dyDescent="0.3">
      <c r="C838"/>
      <c r="D838"/>
      <c r="E838"/>
      <c r="F838"/>
      <c r="G838" s="20"/>
    </row>
    <row r="839" spans="3:7" x14ac:dyDescent="0.3">
      <c r="C839"/>
      <c r="D839"/>
      <c r="E839"/>
      <c r="F839"/>
      <c r="G839" s="20"/>
    </row>
    <row r="840" spans="3:7" x14ac:dyDescent="0.3">
      <c r="C840"/>
      <c r="D840"/>
      <c r="E840"/>
      <c r="F840"/>
      <c r="G840" s="20"/>
    </row>
    <row r="841" spans="3:7" x14ac:dyDescent="0.3">
      <c r="C841"/>
      <c r="D841"/>
      <c r="E841"/>
      <c r="F841"/>
      <c r="G841" s="20"/>
    </row>
    <row r="842" spans="3:7" x14ac:dyDescent="0.3">
      <c r="C842"/>
      <c r="D842"/>
      <c r="E842"/>
      <c r="F842"/>
      <c r="G842" s="20"/>
    </row>
    <row r="843" spans="3:7" x14ac:dyDescent="0.3">
      <c r="C843"/>
      <c r="D843"/>
      <c r="E843"/>
      <c r="F843"/>
      <c r="G843" s="20"/>
    </row>
    <row r="844" spans="3:7" x14ac:dyDescent="0.3">
      <c r="C844"/>
      <c r="D844"/>
      <c r="E844"/>
      <c r="F844"/>
      <c r="G844" s="20"/>
    </row>
    <row r="845" spans="3:7" x14ac:dyDescent="0.3">
      <c r="C845"/>
      <c r="D845"/>
      <c r="E845"/>
      <c r="F845"/>
      <c r="G845" s="20"/>
    </row>
    <row r="846" spans="3:7" x14ac:dyDescent="0.3">
      <c r="C846"/>
      <c r="D846"/>
      <c r="E846"/>
      <c r="F846"/>
      <c r="G846" s="20"/>
    </row>
    <row r="847" spans="3:7" x14ac:dyDescent="0.3">
      <c r="C847"/>
      <c r="D847"/>
      <c r="E847"/>
      <c r="F847"/>
      <c r="G847" s="20"/>
    </row>
    <row r="848" spans="3:7" x14ac:dyDescent="0.3">
      <c r="C848"/>
      <c r="D848"/>
      <c r="E848"/>
      <c r="F848"/>
      <c r="G848" s="20"/>
    </row>
    <row r="849" spans="3:7" x14ac:dyDescent="0.3">
      <c r="C849"/>
      <c r="D849"/>
      <c r="E849"/>
      <c r="F849"/>
      <c r="G849" s="20"/>
    </row>
    <row r="850" spans="3:7" x14ac:dyDescent="0.3">
      <c r="C850"/>
      <c r="D850"/>
      <c r="E850"/>
      <c r="F850"/>
      <c r="G850" s="20"/>
    </row>
    <row r="851" spans="3:7" x14ac:dyDescent="0.3">
      <c r="C851"/>
      <c r="D851"/>
      <c r="E851"/>
      <c r="F851"/>
      <c r="G851" s="20"/>
    </row>
    <row r="852" spans="3:7" x14ac:dyDescent="0.3">
      <c r="C852"/>
      <c r="D852"/>
      <c r="E852"/>
      <c r="F852"/>
      <c r="G852" s="20"/>
    </row>
    <row r="853" spans="3:7" x14ac:dyDescent="0.3">
      <c r="C853"/>
      <c r="D853"/>
      <c r="E853"/>
      <c r="F853"/>
      <c r="G853" s="20"/>
    </row>
    <row r="854" spans="3:7" x14ac:dyDescent="0.3">
      <c r="C854"/>
      <c r="D854"/>
      <c r="E854"/>
      <c r="F854"/>
      <c r="G854" s="20"/>
    </row>
    <row r="855" spans="3:7" x14ac:dyDescent="0.3">
      <c r="C855"/>
      <c r="D855"/>
      <c r="E855"/>
      <c r="F855"/>
      <c r="G855" s="20"/>
    </row>
    <row r="856" spans="3:7" x14ac:dyDescent="0.3">
      <c r="C856"/>
      <c r="D856"/>
      <c r="E856"/>
      <c r="F856"/>
      <c r="G856" s="20"/>
    </row>
    <row r="857" spans="3:7" x14ac:dyDescent="0.3">
      <c r="C857"/>
      <c r="D857"/>
      <c r="E857"/>
      <c r="F857"/>
      <c r="G857" s="20"/>
    </row>
    <row r="858" spans="3:7" x14ac:dyDescent="0.3">
      <c r="C858"/>
      <c r="D858"/>
      <c r="E858"/>
      <c r="F858"/>
      <c r="G858" s="20"/>
    </row>
    <row r="859" spans="3:7" x14ac:dyDescent="0.3">
      <c r="C859"/>
      <c r="D859"/>
      <c r="E859"/>
      <c r="F859"/>
      <c r="G859" s="20"/>
    </row>
    <row r="860" spans="3:7" x14ac:dyDescent="0.3">
      <c r="C860"/>
      <c r="D860"/>
      <c r="E860"/>
      <c r="F860"/>
      <c r="G860" s="20"/>
    </row>
    <row r="861" spans="3:7" x14ac:dyDescent="0.3">
      <c r="C861"/>
      <c r="D861"/>
      <c r="E861"/>
      <c r="F861"/>
      <c r="G861" s="20"/>
    </row>
    <row r="862" spans="3:7" x14ac:dyDescent="0.3">
      <c r="C862"/>
      <c r="D862"/>
      <c r="E862"/>
      <c r="F862"/>
      <c r="G862" s="20"/>
    </row>
    <row r="863" spans="3:7" x14ac:dyDescent="0.3">
      <c r="C863"/>
      <c r="D863"/>
      <c r="E863"/>
      <c r="F863"/>
      <c r="G863" s="20"/>
    </row>
    <row r="864" spans="3:7" x14ac:dyDescent="0.3">
      <c r="C864"/>
      <c r="D864"/>
      <c r="E864"/>
      <c r="F864"/>
      <c r="G864" s="20"/>
    </row>
    <row r="865" spans="3:7" x14ac:dyDescent="0.3">
      <c r="C865"/>
      <c r="D865"/>
      <c r="E865"/>
      <c r="F865"/>
      <c r="G865" s="20"/>
    </row>
    <row r="866" spans="3:7" x14ac:dyDescent="0.3">
      <c r="C866"/>
      <c r="D866"/>
      <c r="E866"/>
      <c r="F866"/>
      <c r="G866" s="20"/>
    </row>
    <row r="867" spans="3:7" x14ac:dyDescent="0.3">
      <c r="C867"/>
      <c r="D867"/>
      <c r="E867"/>
      <c r="F867"/>
      <c r="G867" s="20"/>
    </row>
    <row r="868" spans="3:7" x14ac:dyDescent="0.3">
      <c r="C868"/>
      <c r="D868"/>
      <c r="E868"/>
      <c r="F868"/>
      <c r="G868" s="20"/>
    </row>
    <row r="869" spans="3:7" x14ac:dyDescent="0.3">
      <c r="C869"/>
      <c r="D869"/>
      <c r="E869"/>
      <c r="F869"/>
      <c r="G869" s="20"/>
    </row>
    <row r="870" spans="3:7" x14ac:dyDescent="0.3">
      <c r="C870"/>
      <c r="D870"/>
      <c r="E870"/>
      <c r="F870"/>
      <c r="G870" s="20"/>
    </row>
    <row r="871" spans="3:7" x14ac:dyDescent="0.3">
      <c r="C871"/>
      <c r="D871"/>
      <c r="E871"/>
      <c r="F871"/>
      <c r="G871" s="20"/>
    </row>
    <row r="872" spans="3:7" x14ac:dyDescent="0.3">
      <c r="C872"/>
      <c r="D872"/>
      <c r="E872"/>
      <c r="F872"/>
      <c r="G872" s="20"/>
    </row>
    <row r="873" spans="3:7" x14ac:dyDescent="0.3">
      <c r="C873"/>
      <c r="D873"/>
      <c r="E873"/>
      <c r="F873"/>
      <c r="G873" s="20"/>
    </row>
    <row r="874" spans="3:7" x14ac:dyDescent="0.3">
      <c r="C874"/>
      <c r="D874"/>
      <c r="E874"/>
      <c r="F874"/>
      <c r="G874" s="20"/>
    </row>
    <row r="875" spans="3:7" x14ac:dyDescent="0.3">
      <c r="C875"/>
      <c r="D875"/>
      <c r="E875"/>
      <c r="F875"/>
      <c r="G875" s="20"/>
    </row>
    <row r="876" spans="3:7" x14ac:dyDescent="0.3">
      <c r="C876"/>
      <c r="D876"/>
      <c r="E876"/>
      <c r="F876"/>
      <c r="G876" s="20"/>
    </row>
    <row r="877" spans="3:7" x14ac:dyDescent="0.3">
      <c r="C877"/>
      <c r="D877"/>
      <c r="E877"/>
      <c r="F877"/>
      <c r="G877" s="20"/>
    </row>
    <row r="878" spans="3:7" x14ac:dyDescent="0.3">
      <c r="C878"/>
      <c r="D878"/>
      <c r="E878"/>
      <c r="F878"/>
      <c r="G878" s="20"/>
    </row>
    <row r="879" spans="3:7" x14ac:dyDescent="0.3">
      <c r="C879"/>
      <c r="D879"/>
      <c r="E879"/>
      <c r="F879"/>
      <c r="G879" s="20"/>
    </row>
    <row r="880" spans="3:7" x14ac:dyDescent="0.3">
      <c r="C880"/>
      <c r="D880"/>
      <c r="E880"/>
      <c r="F880"/>
      <c r="G880" s="20"/>
    </row>
    <row r="881" spans="3:7" x14ac:dyDescent="0.3">
      <c r="C881"/>
      <c r="D881"/>
      <c r="E881"/>
      <c r="F881"/>
      <c r="G881" s="20"/>
    </row>
    <row r="882" spans="3:7" x14ac:dyDescent="0.3">
      <c r="C882"/>
      <c r="D882"/>
      <c r="E882"/>
      <c r="F882"/>
      <c r="G882" s="20"/>
    </row>
    <row r="883" spans="3:7" x14ac:dyDescent="0.3">
      <c r="C883"/>
      <c r="D883"/>
      <c r="E883"/>
      <c r="F883"/>
      <c r="G883" s="20"/>
    </row>
    <row r="884" spans="3:7" x14ac:dyDescent="0.3">
      <c r="C884"/>
      <c r="D884"/>
      <c r="E884"/>
      <c r="F884"/>
      <c r="G884" s="20"/>
    </row>
    <row r="885" spans="3:7" x14ac:dyDescent="0.3">
      <c r="C885"/>
      <c r="D885"/>
      <c r="E885"/>
      <c r="F885"/>
      <c r="G885" s="20"/>
    </row>
    <row r="886" spans="3:7" x14ac:dyDescent="0.3">
      <c r="C886"/>
      <c r="D886"/>
      <c r="E886"/>
      <c r="F886"/>
      <c r="G886" s="20"/>
    </row>
    <row r="887" spans="3:7" x14ac:dyDescent="0.3">
      <c r="C887"/>
      <c r="D887"/>
      <c r="E887"/>
      <c r="F887"/>
      <c r="G887" s="20"/>
    </row>
    <row r="888" spans="3:7" x14ac:dyDescent="0.3">
      <c r="C888"/>
      <c r="D888"/>
      <c r="E888"/>
      <c r="F888"/>
      <c r="G888" s="20"/>
    </row>
    <row r="889" spans="3:7" x14ac:dyDescent="0.3">
      <c r="C889"/>
      <c r="D889"/>
      <c r="E889"/>
      <c r="F889"/>
      <c r="G889" s="20"/>
    </row>
    <row r="890" spans="3:7" x14ac:dyDescent="0.3">
      <c r="C890"/>
      <c r="D890"/>
      <c r="E890"/>
      <c r="F890"/>
      <c r="G890" s="20"/>
    </row>
    <row r="891" spans="3:7" x14ac:dyDescent="0.3">
      <c r="C891"/>
      <c r="D891"/>
      <c r="E891"/>
      <c r="F891"/>
      <c r="G891" s="20"/>
    </row>
    <row r="892" spans="3:7" x14ac:dyDescent="0.3">
      <c r="C892"/>
      <c r="D892"/>
      <c r="E892"/>
      <c r="F892"/>
      <c r="G892" s="20"/>
    </row>
    <row r="893" spans="3:7" x14ac:dyDescent="0.3">
      <c r="C893"/>
      <c r="D893"/>
      <c r="E893"/>
      <c r="F893"/>
      <c r="G893" s="20"/>
    </row>
    <row r="894" spans="3:7" x14ac:dyDescent="0.3">
      <c r="C894"/>
      <c r="D894"/>
      <c r="E894"/>
      <c r="F894"/>
      <c r="G894" s="20"/>
    </row>
    <row r="895" spans="3:7" x14ac:dyDescent="0.3">
      <c r="C895"/>
      <c r="D895"/>
      <c r="E895"/>
      <c r="F895"/>
      <c r="G895" s="20"/>
    </row>
    <row r="896" spans="3:7" x14ac:dyDescent="0.3">
      <c r="C896"/>
      <c r="D896"/>
      <c r="E896"/>
      <c r="F896"/>
      <c r="G896" s="20"/>
    </row>
    <row r="897" spans="3:7" x14ac:dyDescent="0.3">
      <c r="C897"/>
      <c r="D897"/>
      <c r="E897"/>
      <c r="F897"/>
      <c r="G897" s="20"/>
    </row>
    <row r="898" spans="3:7" x14ac:dyDescent="0.3">
      <c r="C898"/>
      <c r="D898"/>
      <c r="E898"/>
      <c r="F898"/>
      <c r="G898" s="20"/>
    </row>
    <row r="899" spans="3:7" x14ac:dyDescent="0.3">
      <c r="C899"/>
      <c r="D899"/>
      <c r="E899"/>
      <c r="F899"/>
      <c r="G899" s="20"/>
    </row>
    <row r="900" spans="3:7" x14ac:dyDescent="0.3">
      <c r="C900"/>
      <c r="D900"/>
      <c r="E900"/>
      <c r="F900"/>
      <c r="G900" s="20"/>
    </row>
    <row r="901" spans="3:7" x14ac:dyDescent="0.3">
      <c r="C901"/>
      <c r="D901"/>
      <c r="E901"/>
      <c r="F901"/>
      <c r="G901" s="20"/>
    </row>
    <row r="902" spans="3:7" x14ac:dyDescent="0.3">
      <c r="C902"/>
      <c r="D902"/>
      <c r="E902"/>
      <c r="F902"/>
      <c r="G902" s="20"/>
    </row>
    <row r="903" spans="3:7" x14ac:dyDescent="0.3">
      <c r="C903"/>
      <c r="D903"/>
      <c r="E903"/>
      <c r="F903"/>
      <c r="G903" s="20"/>
    </row>
    <row r="904" spans="3:7" x14ac:dyDescent="0.3">
      <c r="C904"/>
      <c r="D904"/>
      <c r="E904"/>
      <c r="F904"/>
      <c r="G904" s="20"/>
    </row>
    <row r="905" spans="3:7" x14ac:dyDescent="0.3">
      <c r="C905"/>
      <c r="D905"/>
      <c r="E905"/>
      <c r="F905"/>
      <c r="G905" s="20"/>
    </row>
    <row r="906" spans="3:7" x14ac:dyDescent="0.3">
      <c r="C906"/>
      <c r="D906"/>
      <c r="E906"/>
      <c r="F906"/>
      <c r="G906" s="20"/>
    </row>
    <row r="907" spans="3:7" x14ac:dyDescent="0.3">
      <c r="C907"/>
      <c r="D907"/>
      <c r="E907"/>
      <c r="F907"/>
      <c r="G907" s="20"/>
    </row>
    <row r="908" spans="3:7" x14ac:dyDescent="0.3">
      <c r="C908"/>
      <c r="D908"/>
      <c r="E908"/>
      <c r="F908"/>
      <c r="G908" s="20"/>
    </row>
    <row r="909" spans="3:7" x14ac:dyDescent="0.3">
      <c r="C909"/>
      <c r="D909"/>
      <c r="E909"/>
      <c r="F909"/>
      <c r="G909" s="20"/>
    </row>
    <row r="910" spans="3:7" x14ac:dyDescent="0.3">
      <c r="C910"/>
      <c r="D910"/>
      <c r="E910"/>
      <c r="F910"/>
      <c r="G910" s="20"/>
    </row>
    <row r="911" spans="3:7" x14ac:dyDescent="0.3">
      <c r="C911"/>
      <c r="D911"/>
      <c r="E911"/>
      <c r="F911"/>
      <c r="G911" s="20"/>
    </row>
    <row r="912" spans="3:7" x14ac:dyDescent="0.3">
      <c r="C912"/>
      <c r="D912"/>
      <c r="E912"/>
      <c r="F912"/>
      <c r="G912" s="20"/>
    </row>
    <row r="913" spans="3:7" x14ac:dyDescent="0.3">
      <c r="C913"/>
      <c r="D913"/>
      <c r="E913"/>
      <c r="F913"/>
      <c r="G913" s="20"/>
    </row>
    <row r="914" spans="3:7" x14ac:dyDescent="0.3">
      <c r="C914"/>
      <c r="D914"/>
      <c r="E914"/>
      <c r="F914"/>
      <c r="G914" s="20"/>
    </row>
    <row r="915" spans="3:7" x14ac:dyDescent="0.3">
      <c r="C915"/>
      <c r="D915"/>
      <c r="E915"/>
      <c r="F915"/>
      <c r="G915" s="20"/>
    </row>
    <row r="916" spans="3:7" x14ac:dyDescent="0.3">
      <c r="C916"/>
      <c r="D916"/>
      <c r="E916"/>
      <c r="F916"/>
      <c r="G916" s="20"/>
    </row>
    <row r="917" spans="3:7" x14ac:dyDescent="0.3">
      <c r="C917"/>
      <c r="D917"/>
      <c r="E917"/>
      <c r="F917"/>
      <c r="G917" s="20"/>
    </row>
    <row r="918" spans="3:7" x14ac:dyDescent="0.3">
      <c r="C918"/>
      <c r="D918"/>
      <c r="E918"/>
      <c r="F918"/>
      <c r="G918" s="20"/>
    </row>
    <row r="919" spans="3:7" x14ac:dyDescent="0.3">
      <c r="C919"/>
      <c r="D919"/>
      <c r="E919"/>
      <c r="F919"/>
      <c r="G919" s="20"/>
    </row>
    <row r="920" spans="3:7" x14ac:dyDescent="0.3">
      <c r="C920"/>
      <c r="D920"/>
      <c r="E920"/>
      <c r="F920"/>
      <c r="G920" s="20"/>
    </row>
    <row r="921" spans="3:7" x14ac:dyDescent="0.3">
      <c r="C921"/>
      <c r="D921"/>
      <c r="E921"/>
      <c r="F921"/>
      <c r="G921" s="20"/>
    </row>
    <row r="922" spans="3:7" x14ac:dyDescent="0.3">
      <c r="C922"/>
      <c r="D922"/>
      <c r="E922"/>
      <c r="F922"/>
      <c r="G922" s="20"/>
    </row>
    <row r="923" spans="3:7" x14ac:dyDescent="0.3">
      <c r="C923"/>
      <c r="D923"/>
      <c r="E923"/>
      <c r="F923"/>
      <c r="G923" s="20"/>
    </row>
    <row r="924" spans="3:7" x14ac:dyDescent="0.3">
      <c r="C924"/>
      <c r="D924"/>
      <c r="E924"/>
      <c r="F924"/>
      <c r="G924" s="20"/>
    </row>
  </sheetData>
  <conditionalFormatting sqref="A3:B3 C1:D1048576">
    <cfRule type="cellIs" dxfId="1" priority="59" operator="between">
      <formula>0.604176666666667</formula>
      <formula>0.68749</formula>
    </cfRule>
    <cfRule type="cellIs" dxfId="0" priority="60" operator="between">
      <formula>0.395843333333333</formula>
      <formula>0.541656666666667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ormatCells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formatTable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NewWeek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export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importSheet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40"/>
  <sheetViews>
    <sheetView workbookViewId="0">
      <selection activeCell="A3" sqref="A3"/>
    </sheetView>
  </sheetViews>
  <sheetFormatPr defaultRowHeight="14.4" x14ac:dyDescent="0.3"/>
  <cols>
    <col min="1" max="1" width="9.5546875" customWidth="1"/>
    <col min="2" max="2" width="10.88671875" customWidth="1"/>
    <col min="3" max="3" width="12.109375" customWidth="1"/>
    <col min="4" max="4" width="13.109375" customWidth="1"/>
    <col min="5" max="5" width="15.5546875" customWidth="1"/>
    <col min="6" max="6" width="12.88671875" customWidth="1"/>
    <col min="7" max="7" width="13.6640625" customWidth="1"/>
    <col min="8" max="8" width="18.33203125" customWidth="1"/>
    <col min="9" max="9" width="17.33203125" customWidth="1"/>
    <col min="10" max="10" width="18.33203125" customWidth="1"/>
    <col min="11" max="11" width="17.33203125" customWidth="1"/>
    <col min="12" max="13" width="8.33203125" customWidth="1"/>
    <col min="14" max="14" width="27.44140625" customWidth="1"/>
    <col min="15" max="16" width="15.44140625" customWidth="1"/>
    <col min="17" max="17" width="26" customWidth="1"/>
  </cols>
  <sheetData>
    <row r="1" spans="1:18" x14ac:dyDescent="0.3">
      <c r="A1" s="36" t="s">
        <v>34</v>
      </c>
      <c r="R1" s="37" t="s">
        <v>35</v>
      </c>
    </row>
    <row r="2" spans="1:18" x14ac:dyDescent="0.3">
      <c r="A2" s="36" t="s">
        <v>43</v>
      </c>
    </row>
    <row r="3" spans="1:18" s="9" customFormat="1" ht="14.25" customHeight="1" x14ac:dyDescent="0.3">
      <c r="A3" s="38" t="s">
        <v>42</v>
      </c>
      <c r="B3" s="39"/>
    </row>
    <row r="4" spans="1:18" s="9" customFormat="1" x14ac:dyDescent="0.3">
      <c r="A4" s="39"/>
    </row>
    <row r="5" spans="1:18" s="9" customFormat="1" x14ac:dyDescent="0.3">
      <c r="A5" s="40">
        <f>(Sheet1!B3 - Sheet1!A3) *60 * 24</f>
        <v>209.99999999999994</v>
      </c>
      <c r="C5" s="40">
        <f>(Sheet1!D3 - Sheet1!C3) *60 * 24</f>
        <v>120.00000000000004</v>
      </c>
      <c r="L5" s="25"/>
      <c r="M5" s="25"/>
    </row>
    <row r="6" spans="1:18" s="9" customFormat="1" x14ac:dyDescent="0.3">
      <c r="A6" s="22" t="s">
        <v>11</v>
      </c>
      <c r="B6" s="23" t="s">
        <v>12</v>
      </c>
      <c r="C6" s="23" t="s">
        <v>13</v>
      </c>
      <c r="D6" s="24" t="s">
        <v>14</v>
      </c>
      <c r="E6" s="24" t="s">
        <v>15</v>
      </c>
      <c r="F6" s="24" t="s">
        <v>36</v>
      </c>
      <c r="G6" s="24" t="s">
        <v>16</v>
      </c>
      <c r="H6" s="25" t="s">
        <v>17</v>
      </c>
      <c r="I6" s="25" t="s">
        <v>18</v>
      </c>
      <c r="J6" s="25" t="s">
        <v>19</v>
      </c>
      <c r="K6" s="25" t="s">
        <v>20</v>
      </c>
      <c r="L6" s="25" t="s">
        <v>37</v>
      </c>
      <c r="M6" s="25" t="s">
        <v>38</v>
      </c>
      <c r="N6" s="24" t="s">
        <v>39</v>
      </c>
      <c r="O6" s="26" t="s">
        <v>21</v>
      </c>
      <c r="P6" s="26"/>
      <c r="Q6" s="26" t="s">
        <v>40</v>
      </c>
      <c r="R6" s="27"/>
    </row>
    <row r="7" spans="1:18" s="9" customFormat="1" x14ac:dyDescent="0.3">
      <c r="A7" s="28" t="s">
        <v>7</v>
      </c>
      <c r="B7" s="29" t="s">
        <v>8</v>
      </c>
      <c r="C7" s="29" t="s">
        <v>9</v>
      </c>
      <c r="D7" s="30" t="s">
        <v>10</v>
      </c>
      <c r="E7" s="30" t="s">
        <v>22</v>
      </c>
      <c r="F7" s="31" t="s">
        <v>23</v>
      </c>
      <c r="G7" s="29" t="s">
        <v>24</v>
      </c>
      <c r="H7" s="29" t="s">
        <v>25</v>
      </c>
      <c r="I7" s="29" t="s">
        <v>26</v>
      </c>
      <c r="J7" s="29" t="s">
        <v>27</v>
      </c>
      <c r="K7" s="29" t="s">
        <v>28</v>
      </c>
      <c r="L7" s="29" t="s">
        <v>29</v>
      </c>
      <c r="M7" s="29" t="s">
        <v>30</v>
      </c>
      <c r="N7" s="29" t="s">
        <v>31</v>
      </c>
      <c r="O7" s="29" t="s">
        <v>32</v>
      </c>
      <c r="P7" s="29" t="s">
        <v>41</v>
      </c>
      <c r="Q7" s="32" t="s">
        <v>33</v>
      </c>
    </row>
    <row r="8" spans="1:18" s="9" customFormat="1" x14ac:dyDescent="0.3">
      <c r="A8" s="21">
        <f>IF(TYPE(Sheet1!#REF!) = 1,Sheet1!#REF!,0)</f>
        <v>0</v>
      </c>
      <c r="B8" s="33">
        <f>IF(TYPE(Sheet1!#REF!) = 1,Sheet1!#REF!,0)</f>
        <v>0</v>
      </c>
      <c r="C8" s="33">
        <f>IF(TYPE(Sheet1!#REF!) = 1,Sheet1!#REF!,0)</f>
        <v>0</v>
      </c>
      <c r="D8" s="41" t="str">
        <f>IF(Table2[[#This Row],[Is Paid Leave?]] = 1, 8.5, IF(Table2[[#This Row],[Date]]&lt;&gt;0,MOD(C8-B8,1)*24,""))</f>
        <v/>
      </c>
      <c r="E8" s="27">
        <f>IF(AND(Table2[[#This Row],[Date]]=0,A7&lt;&gt;0),SUMIFS(D$1:D7, A$1:A7, "&gt;" &amp; A7-P7),"")</f>
        <v>0</v>
      </c>
      <c r="F8" s="27" t="str">
        <f>IF(Table2[[#This Row],[Is Paid Leave?]] = 1, 5.5, IF(OR(WEEKDAY(Table2[[#This Row],[Date]]) = 6, WEEKDAY(Table2[[#This Row],[Date]]) = 7),"", IF(AND(Table2[[#This Row],[Check-in]] = 0, Table2[[#This Row],[Check-out]] = 0), -3, (L8 + M8) / 60)))</f>
        <v/>
      </c>
      <c r="G8" s="27">
        <f>IF(Table2[[#This Row],[Weekly Hours]] &lt;&gt; "",IF(Table2[[#This Row],[Weekly Hours]] &gt; 42.5 - Table2[[#This Row],[Missing Core Hours Weekly]],3.43 - Table2[[#This Row],[Missing Core Hours Weekly]], 3.43 - (42.5-Table2[[#This Row],[Weekly Hours]])), "")</f>
        <v>-39.07</v>
      </c>
      <c r="H8" s="34">
        <f>IF(Table2[[#This Row],[Is Paid Leave?]] = 1, 0, IF(AND(B8 &gt; Sheet1!$A$3, B8 &lt; Sheet1!$B$3), 24 * 60 * (B8 - Sheet1!$A$3), IF(Table2[[#This Row],[Check-in]] &gt; Sheet1!$B$3, IF(AND(Sheet2!A8 &lt;&gt; Sheet2!A7, Sheet2!A8 &lt;&gt; 0), 210, IF(C7 &lt; Sheet1!$A$3, 210, 0)), 0)))</f>
        <v>0</v>
      </c>
      <c r="I8" s="34">
        <f>IFERROR(IF(AND(C8 &gt; Sheet1!$A$3, C8 &lt; Sheet1!$B$3), 24 * 60 * (Sheet1!$B$3 - C8), 0), 0)</f>
        <v>0</v>
      </c>
      <c r="J8" s="34">
        <f>IFERROR(IF(AND(B8 &gt; Sheet1!$C$3, B8 &lt; Sheet1!$D$3), 24 * 60 * (B8 - Sheet1!$C$3), 0), 0)</f>
        <v>0</v>
      </c>
      <c r="K8" s="34">
        <f>IF(Table2[[#This Row],[Is Paid Leave?]] = 1, 0, IF(Table2[[#This Row],[Check-out]] = Table2[[#This Row],[Check-in]], 0, IF(AND(C8 &gt; Sheet1!$C$3, C8 &lt; Sheet1!$D$3), 24 * 60 * (Sheet1!$D$3 - C8), IF(Table2[[#This Row],[Check-out]] &lt; Sheet1!$C$3, IF(AND(Sheet2!A8 &lt;&gt; Sheet2!A9, Sheet2!A8 &lt;&gt; 0), 120, IF(B9 &gt; Sheet1!$D$3, 120, 0)), 0))))</f>
        <v>0</v>
      </c>
      <c r="L8" s="34">
        <f t="array" ref="L8">IF($A8 = $A7, 0, A$5 - (H8 + I8 + IF($A8 = $A9:$A19, H9:H19 + I9:I19 + IF(AND(H9:H19 &gt; 0, I8:I18 &gt; 0), 0, 0), 0)))</f>
        <v>209.99999999999994</v>
      </c>
      <c r="M8" s="34">
        <f t="array" ref="M8">IF($A8 = $A7, 0, C$5 - ( J8 + K8 + IF($A8 = $A9:$A19, J9:J19 + K9:K19 + IF(AND(J9:J19 &gt; 0, K8:K18 &gt; 0), -C$5, 0), 0)))</f>
        <v>120.00000000000004</v>
      </c>
      <c r="N8" s="27">
        <f>IF(AND(Table2[[#This Row],[Date]] = 0,A7 &lt;&gt; 0), IF(IFERROR(SEARCH( "Flex", Sheet1!#REF!), 0), 0, 27.5 - SUMIFS(F$1:F7, A$1:A7, "&gt;" &amp; A7-7)), "")</f>
        <v>27.5</v>
      </c>
      <c r="O8" s="35">
        <f>IF(OR(IFERROR(SEARCH("Official Vacation",Sheet1!#REF!),0),IFERROR(SEARCH("Sick",Sheet1!#REF!),0),IFERROR(SEARCH("Holiday",Sheet1!#REF!),0)),1,0)</f>
        <v>0</v>
      </c>
      <c r="P8" s="35"/>
      <c r="Q8" s="35">
        <f>WEEKDAY(Table2[[#This Row],[Date]])</f>
        <v>7</v>
      </c>
    </row>
    <row r="9" spans="1:18" s="9" customFormat="1" x14ac:dyDescent="0.3">
      <c r="A9" s="21"/>
      <c r="B9" s="33"/>
      <c r="C9" s="33"/>
      <c r="D9" s="41"/>
      <c r="E9" s="27"/>
      <c r="F9" s="27"/>
      <c r="G9" s="27"/>
      <c r="H9" s="34"/>
      <c r="I9" s="34"/>
      <c r="J9" s="34"/>
      <c r="K9" s="34"/>
      <c r="L9" s="34"/>
      <c r="M9" s="34"/>
      <c r="N9" s="27"/>
      <c r="O9" s="35"/>
      <c r="P9" s="35"/>
      <c r="Q9" s="35"/>
    </row>
    <row r="10" spans="1:18" s="9" customFormat="1" x14ac:dyDescent="0.3">
      <c r="A10" s="21"/>
      <c r="B10" s="33"/>
      <c r="C10" s="33"/>
      <c r="D10" s="41"/>
      <c r="E10" s="27"/>
      <c r="F10" s="27"/>
      <c r="G10" s="27"/>
      <c r="H10" s="34"/>
      <c r="I10" s="34"/>
      <c r="J10" s="34"/>
      <c r="K10" s="34"/>
      <c r="L10" s="34"/>
      <c r="M10" s="34"/>
      <c r="N10" s="27"/>
      <c r="O10" s="35"/>
      <c r="P10" s="35"/>
      <c r="Q10" s="35"/>
    </row>
    <row r="11" spans="1:18" s="9" customForma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 s="9" customForma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 s="9" customForma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 s="9" customForma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 s="9" customForma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 s="9" customForma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s="9" customForma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s="9" customForma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s="9" customForma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s="9" customForma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s="9" customForma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s="9" customForma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s="9" customForma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s="9" customForma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s="9" customForma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s="9" customForma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s="9" customForma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s="9" customForma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s="9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s="9" customForma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s="9" customForma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s="9" customForma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s="9" customForma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s="9" customForma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s="9" customForma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s="9" customForma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s="9" customForma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s="9" customForma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s="9" customForma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s="9" customForma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s="9" customForma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s="9" customForma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s="9" customForma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s="9" customForma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s="9" customForma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s="9" customForma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s="9" customForma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s="9" customForma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s="9" customForma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s="9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s="9" customForma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s="9" customForma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s="9" customForma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s="9" customForma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s="9" customForma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s="9" customForma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s="9" customForma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s="9" customForma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s="9" customForma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s="9" customForma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s="9" customForma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s="9" customForma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s="9" customForma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s="9" customForma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s="9" customForma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s="9" customForma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s="9" customForma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s="9" customForma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s="9" customForma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s="9" customForma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s="9" customForma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s="9" customForma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s="9" customForma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s="9" customForma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s="9" customForma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s="9" customForma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s="9" customForma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s="9" customForma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s="9" customForma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s="9" customForma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s="9" customForma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s="9" customForma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s="9" customForma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s="9" customForma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s="9" customForma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s="9" customForma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s="9" customForma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s="9" customForma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s="9" customForma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9" customForma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9" customForma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9" customForma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9" customForma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9" customForma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9" customForma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9" customForma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9" customForma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9" customForma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9" customForma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9" customForma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9" customForma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9" customForma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9" customForma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9" customForma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9" customForma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9" customForma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9" customForma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9" customForma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9" customForma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9" customForma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9" customForma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9" customForma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9" customForma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9" customForma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9" customForma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9" customForma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9" customForma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9" customForma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9" customForma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9" customForma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9" customForma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9" customForma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9" customForma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9" customForma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9" customForma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9" customForma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9" customForma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9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9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9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9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9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9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9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9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9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9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9" customForma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9" customFormat="1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9" customForma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9" customFormat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9" customFormat="1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9" customFormat="1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9" customFormat="1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9" customFormat="1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9" customFormat="1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9" customFormat="1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9" customFormat="1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9" customFormat="1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9" customFormat="1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9" customFormat="1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9" customFormat="1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9" customFormat="1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9" customFormat="1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9" customFormat="1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9" customFormat="1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9" customFormat="1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9" customFormat="1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9" customFormat="1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9" customForma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9" customFormat="1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9" customFormat="1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9" customFormat="1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9" customForma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9" customForma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9" customForma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9" customForma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9" customForma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9" customForma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9" customForma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9" customForma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9" customForma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9" customForma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9" customForma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9" customForma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9" customForma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9" customForma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9" customForma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9" customForma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9" customForma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9" customForma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9" customForma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9" customForma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9" customForma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9" customForma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9" customForma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9" customForma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9" customForma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9" customForma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9" customForma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9" customForma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9" customForma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9" customForma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9" customForma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9" customForma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9" customForma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9" customForma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9" customForma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9" customForma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9" customForma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9" customForma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9" customForma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9" customForma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9" customForma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9" customForma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9" customForma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9" customForma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9" customForma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9" customForma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9" customForma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9" customForma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9" customFormat="1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9" customFormat="1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9" customForma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9" customFormat="1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9" customForma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9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9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9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9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9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9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9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9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9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9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9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9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9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9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9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9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9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9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9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9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9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9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9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9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Abdelrahman Abdallah</dc:creator>
  <cp:lastModifiedBy>Abdelrahman Abdallah</cp:lastModifiedBy>
  <dcterms:created xsi:type="dcterms:W3CDTF">2024-01-25T22:07:55Z</dcterms:created>
  <dcterms:modified xsi:type="dcterms:W3CDTF">2024-01-27T21:01:26Z</dcterms:modified>
</cp:coreProperties>
</file>